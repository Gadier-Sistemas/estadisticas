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0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1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2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3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4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5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6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7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8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9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0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1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2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3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X:\Software Licitaciones\"/>
    </mc:Choice>
  </mc:AlternateContent>
  <bookViews>
    <workbookView xWindow="0" yWindow="0" windowWidth="19200" windowHeight="11160" activeTab="2"/>
  </bookViews>
  <sheets>
    <sheet name="Tabla de proceso" sheetId="9" r:id="rId1"/>
    <sheet name="Registro de estadistica " sheetId="25" r:id="rId2"/>
    <sheet name="Oper.Nombre " sheetId="2" r:id="rId3"/>
    <sheet name="Resumen" sheetId="23" r:id="rId4"/>
  </sheets>
  <externalReferences>
    <externalReference r:id="rId5"/>
  </externalReferences>
  <definedNames>
    <definedName name="_xlnm._FilterDatabase" localSheetId="2" hidden="1">'Oper.Nombre '!$A$5:$S$167</definedName>
    <definedName name="_xlnm._FilterDatabase" localSheetId="0" hidden="1">'Tabla de proceso'!$A$5:$G$25</definedName>
    <definedName name="_xlnm.Print_Area" localSheetId="0">'Tabla de proceso'!$A$5:$G$25</definedName>
    <definedName name="CALIDAD" localSheetId="0">'Tabla de proceso'!#REF!</definedName>
    <definedName name="CALIDAD">#REF!</definedName>
    <definedName name="CONSULTA" localSheetId="0">'Tabla de proceso'!#REF!</definedName>
    <definedName name="CONSULTA">#REF!</definedName>
    <definedName name="CONSULTAS">[1]PROCESOS!$B$15:$B$16</definedName>
    <definedName name="DIGITALIZACION" localSheetId="0">'Tabla de proceso'!#REF!</definedName>
    <definedName name="DIGITALIZACION">#REF!</definedName>
    <definedName name="DOCFISICO" localSheetId="0">'Tabla de proceso'!#REF!</definedName>
    <definedName name="DOCFISICO">#REF!</definedName>
    <definedName name="FRENTES">[1]PROCESOS!$B$8:$B$14</definedName>
    <definedName name="indexacion">#REF!</definedName>
    <definedName name="METAS">#REF!</definedName>
    <definedName name="PROCESO">#REF!</definedName>
    <definedName name="PROYECCCION">#REF!</definedName>
    <definedName name="PROYECCION">#REF!</definedName>
    <definedName name="PTECNICO" localSheetId="0">'Tabla de proceso'!#REF!</definedName>
    <definedName name="PTECNICO">#REF!</definedName>
    <definedName name="PTECNICOS">[1]PROCESOS!$B$24:$B$26</definedName>
    <definedName name="SOCIEDAD" localSheetId="0">'Tabla de proceso'!#REF!</definedName>
    <definedName name="SOCIEDAD">#REF!</definedName>
    <definedName name="TIPOLOGIAS">#REF!</definedName>
    <definedName name="TIPOS">#REF!</definedName>
    <definedName name="TOTALES">#REF!</definedName>
    <definedName name="Z_996BBF49_FEF8_4D99_A1F5_2B34CC578AFA_.wvu.Cols" localSheetId="0" hidden="1">'Tabla de proceso'!$E:$F</definedName>
    <definedName name="Z_996BBF49_FEF8_4D99_A1F5_2B34CC578AFA_.wvu.PrintArea" localSheetId="0" hidden="1">'Tabla de proceso'!$A$5:$G$25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" i="2" l="1"/>
  <c r="N6" i="2"/>
  <c r="P6" i="2" s="1"/>
  <c r="K6" i="2"/>
  <c r="J6" i="2"/>
  <c r="D6" i="2"/>
  <c r="E6" i="2" s="1"/>
  <c r="C6" i="2"/>
  <c r="H6" i="2" l="1"/>
  <c r="F6" i="2"/>
  <c r="G6" i="2"/>
  <c r="Q6" i="2" s="1"/>
  <c r="R6" i="2" s="1"/>
  <c r="E22" i="9"/>
  <c r="F22" i="9" s="1"/>
  <c r="E23" i="9"/>
  <c r="F23" i="9" s="1"/>
  <c r="E24" i="9"/>
  <c r="F24" i="9" s="1"/>
  <c r="E25" i="9"/>
  <c r="F25" i="9" s="1"/>
  <c r="E12" i="9"/>
  <c r="F12" i="9" s="1"/>
  <c r="K112" i="25" l="1"/>
  <c r="K113" i="25"/>
  <c r="K114" i="25"/>
  <c r="K115" i="25"/>
  <c r="K116" i="25"/>
  <c r="K117" i="25"/>
  <c r="K118" i="25"/>
  <c r="K119" i="25"/>
  <c r="K120" i="25"/>
  <c r="K121" i="25"/>
  <c r="K122" i="25"/>
  <c r="K123" i="25"/>
  <c r="K124" i="25"/>
  <c r="K125" i="25"/>
  <c r="K126" i="25"/>
  <c r="K127" i="25"/>
  <c r="K128" i="25"/>
  <c r="K129" i="25"/>
  <c r="K130" i="25"/>
  <c r="K131" i="25"/>
  <c r="K132" i="25"/>
  <c r="K133" i="25"/>
  <c r="K134" i="25"/>
  <c r="K135" i="25"/>
  <c r="K136" i="25"/>
  <c r="K137" i="25"/>
  <c r="K138" i="25"/>
  <c r="K139" i="25"/>
  <c r="K140" i="25"/>
  <c r="K141" i="25"/>
  <c r="K142" i="25"/>
  <c r="K143" i="25"/>
  <c r="K144" i="25"/>
  <c r="K145" i="25"/>
  <c r="K146" i="25"/>
  <c r="K147" i="25"/>
  <c r="K148" i="25"/>
  <c r="K149" i="25"/>
  <c r="K150" i="25"/>
  <c r="K151" i="25"/>
  <c r="K152" i="25"/>
  <c r="K153" i="25"/>
  <c r="K154" i="25"/>
  <c r="K155" i="25"/>
  <c r="K156" i="25"/>
  <c r="K157" i="25"/>
  <c r="K158" i="25"/>
  <c r="K159" i="25"/>
  <c r="K160" i="25"/>
  <c r="K161" i="25"/>
  <c r="K162" i="25"/>
  <c r="K163" i="25"/>
  <c r="K164" i="25"/>
  <c r="K165" i="25"/>
  <c r="K166" i="25"/>
  <c r="K167" i="25"/>
  <c r="K168" i="25"/>
  <c r="K169" i="25"/>
  <c r="K170" i="25"/>
  <c r="K171" i="25"/>
  <c r="K172" i="25"/>
  <c r="K111" i="25"/>
  <c r="O7" i="2" l="1"/>
  <c r="N7" i="2"/>
  <c r="K7" i="2"/>
  <c r="J7" i="2"/>
  <c r="D7" i="2"/>
  <c r="E7" i="2" s="1"/>
  <c r="C7" i="2"/>
  <c r="O8" i="2"/>
  <c r="N8" i="2"/>
  <c r="K8" i="2"/>
  <c r="J8" i="2"/>
  <c r="D8" i="2"/>
  <c r="E8" i="2" s="1"/>
  <c r="C8" i="2"/>
  <c r="O9" i="2"/>
  <c r="N9" i="2"/>
  <c r="K9" i="2"/>
  <c r="J9" i="2"/>
  <c r="D9" i="2"/>
  <c r="E9" i="2" s="1"/>
  <c r="C9" i="2"/>
  <c r="O10" i="2"/>
  <c r="N10" i="2"/>
  <c r="K10" i="2"/>
  <c r="J10" i="2"/>
  <c r="D10" i="2"/>
  <c r="E10" i="2" s="1"/>
  <c r="C10" i="2"/>
  <c r="O11" i="2"/>
  <c r="N11" i="2"/>
  <c r="K11" i="2"/>
  <c r="J11" i="2"/>
  <c r="D11" i="2"/>
  <c r="E11" i="2" s="1"/>
  <c r="C11" i="2"/>
  <c r="O12" i="2"/>
  <c r="N12" i="2"/>
  <c r="K12" i="2"/>
  <c r="J12" i="2"/>
  <c r="D12" i="2"/>
  <c r="E12" i="2" s="1"/>
  <c r="C12" i="2"/>
  <c r="O13" i="2"/>
  <c r="N13" i="2"/>
  <c r="K13" i="2"/>
  <c r="J13" i="2"/>
  <c r="D13" i="2"/>
  <c r="E13" i="2" s="1"/>
  <c r="C13" i="2"/>
  <c r="O14" i="2"/>
  <c r="N14" i="2"/>
  <c r="K14" i="2"/>
  <c r="J14" i="2"/>
  <c r="D14" i="2"/>
  <c r="E14" i="2" s="1"/>
  <c r="C14" i="2"/>
  <c r="O15" i="2"/>
  <c r="N15" i="2"/>
  <c r="K15" i="2"/>
  <c r="J15" i="2"/>
  <c r="D15" i="2"/>
  <c r="E15" i="2" s="1"/>
  <c r="C15" i="2"/>
  <c r="O16" i="2"/>
  <c r="N16" i="2"/>
  <c r="K16" i="2"/>
  <c r="J16" i="2"/>
  <c r="D16" i="2"/>
  <c r="E16" i="2" s="1"/>
  <c r="C16" i="2"/>
  <c r="O17" i="2"/>
  <c r="N17" i="2"/>
  <c r="K17" i="2"/>
  <c r="J17" i="2"/>
  <c r="D17" i="2"/>
  <c r="E17" i="2" s="1"/>
  <c r="C17" i="2"/>
  <c r="O18" i="2"/>
  <c r="N18" i="2"/>
  <c r="K18" i="2"/>
  <c r="J18" i="2"/>
  <c r="D18" i="2"/>
  <c r="E18" i="2" s="1"/>
  <c r="C18" i="2"/>
  <c r="O19" i="2"/>
  <c r="N19" i="2"/>
  <c r="K19" i="2"/>
  <c r="J19" i="2"/>
  <c r="D19" i="2"/>
  <c r="E19" i="2" s="1"/>
  <c r="C19" i="2"/>
  <c r="O20" i="2"/>
  <c r="N20" i="2"/>
  <c r="K20" i="2"/>
  <c r="J20" i="2"/>
  <c r="D20" i="2"/>
  <c r="E20" i="2" s="1"/>
  <c r="C20" i="2"/>
  <c r="O21" i="2"/>
  <c r="N21" i="2"/>
  <c r="K21" i="2"/>
  <c r="J21" i="2"/>
  <c r="D21" i="2"/>
  <c r="E21" i="2" s="1"/>
  <c r="C21" i="2"/>
  <c r="O22" i="2"/>
  <c r="N22" i="2"/>
  <c r="K22" i="2"/>
  <c r="J22" i="2"/>
  <c r="D22" i="2"/>
  <c r="E22" i="2" s="1"/>
  <c r="C22" i="2"/>
  <c r="O23" i="2"/>
  <c r="N23" i="2"/>
  <c r="K23" i="2"/>
  <c r="J23" i="2"/>
  <c r="D23" i="2"/>
  <c r="E23" i="2" s="1"/>
  <c r="C23" i="2"/>
  <c r="O24" i="2"/>
  <c r="N24" i="2"/>
  <c r="K24" i="2"/>
  <c r="J24" i="2"/>
  <c r="D24" i="2"/>
  <c r="E24" i="2" s="1"/>
  <c r="C24" i="2"/>
  <c r="O25" i="2"/>
  <c r="N25" i="2"/>
  <c r="K25" i="2"/>
  <c r="J25" i="2"/>
  <c r="D25" i="2"/>
  <c r="E25" i="2" s="1"/>
  <c r="C25" i="2"/>
  <c r="O26" i="2"/>
  <c r="N26" i="2"/>
  <c r="K26" i="2"/>
  <c r="J26" i="2"/>
  <c r="D26" i="2"/>
  <c r="E26" i="2" s="1"/>
  <c r="C26" i="2"/>
  <c r="O27" i="2"/>
  <c r="N27" i="2"/>
  <c r="K27" i="2"/>
  <c r="J27" i="2"/>
  <c r="D27" i="2"/>
  <c r="E27" i="2" s="1"/>
  <c r="C27" i="2"/>
  <c r="O28" i="2"/>
  <c r="N28" i="2"/>
  <c r="K28" i="2"/>
  <c r="J28" i="2"/>
  <c r="D28" i="2"/>
  <c r="E28" i="2" s="1"/>
  <c r="C28" i="2"/>
  <c r="O29" i="2"/>
  <c r="N29" i="2"/>
  <c r="K29" i="2"/>
  <c r="J29" i="2"/>
  <c r="D29" i="2"/>
  <c r="E29" i="2" s="1"/>
  <c r="C29" i="2"/>
  <c r="O30" i="2"/>
  <c r="N30" i="2"/>
  <c r="K30" i="2"/>
  <c r="J30" i="2"/>
  <c r="D30" i="2"/>
  <c r="E30" i="2" s="1"/>
  <c r="C30" i="2"/>
  <c r="O31" i="2"/>
  <c r="N31" i="2"/>
  <c r="K31" i="2"/>
  <c r="J31" i="2"/>
  <c r="D31" i="2"/>
  <c r="E31" i="2" s="1"/>
  <c r="C31" i="2"/>
  <c r="O32" i="2"/>
  <c r="N32" i="2"/>
  <c r="K32" i="2"/>
  <c r="J32" i="2"/>
  <c r="D32" i="2"/>
  <c r="E32" i="2" s="1"/>
  <c r="C32" i="2"/>
  <c r="O33" i="2"/>
  <c r="N33" i="2"/>
  <c r="K33" i="2"/>
  <c r="J33" i="2"/>
  <c r="D33" i="2"/>
  <c r="E33" i="2" s="1"/>
  <c r="C33" i="2"/>
  <c r="O34" i="2"/>
  <c r="N34" i="2"/>
  <c r="K34" i="2"/>
  <c r="J34" i="2"/>
  <c r="D34" i="2"/>
  <c r="E34" i="2" s="1"/>
  <c r="C34" i="2"/>
  <c r="O35" i="2"/>
  <c r="N35" i="2"/>
  <c r="K35" i="2"/>
  <c r="J35" i="2"/>
  <c r="D35" i="2"/>
  <c r="E35" i="2" s="1"/>
  <c r="C35" i="2"/>
  <c r="O36" i="2"/>
  <c r="N36" i="2"/>
  <c r="K36" i="2"/>
  <c r="J36" i="2"/>
  <c r="D36" i="2"/>
  <c r="E36" i="2" s="1"/>
  <c r="C36" i="2"/>
  <c r="O37" i="2"/>
  <c r="N37" i="2"/>
  <c r="K37" i="2"/>
  <c r="J37" i="2"/>
  <c r="D37" i="2"/>
  <c r="E37" i="2" s="1"/>
  <c r="C37" i="2"/>
  <c r="O38" i="2"/>
  <c r="N38" i="2"/>
  <c r="K38" i="2"/>
  <c r="J38" i="2"/>
  <c r="D38" i="2"/>
  <c r="E38" i="2" s="1"/>
  <c r="C38" i="2"/>
  <c r="O39" i="2"/>
  <c r="N39" i="2"/>
  <c r="K39" i="2"/>
  <c r="J39" i="2"/>
  <c r="D39" i="2"/>
  <c r="E39" i="2" s="1"/>
  <c r="C39" i="2"/>
  <c r="O40" i="2"/>
  <c r="N40" i="2"/>
  <c r="K40" i="2"/>
  <c r="J40" i="2"/>
  <c r="D40" i="2"/>
  <c r="E40" i="2" s="1"/>
  <c r="C40" i="2"/>
  <c r="O41" i="2"/>
  <c r="N41" i="2"/>
  <c r="K41" i="2"/>
  <c r="J41" i="2"/>
  <c r="D41" i="2"/>
  <c r="E41" i="2" s="1"/>
  <c r="C41" i="2"/>
  <c r="P7" i="2" l="1"/>
  <c r="P12" i="2"/>
  <c r="P8" i="2"/>
  <c r="P38" i="2"/>
  <c r="P39" i="2"/>
  <c r="P35" i="2"/>
  <c r="G7" i="2"/>
  <c r="F7" i="2"/>
  <c r="H7" i="2"/>
  <c r="G8" i="2"/>
  <c r="Q8" i="2" s="1"/>
  <c r="R8" i="2" s="1"/>
  <c r="F8" i="2"/>
  <c r="H8" i="2"/>
  <c r="P9" i="2"/>
  <c r="G9" i="2"/>
  <c r="Q9" i="2" s="1"/>
  <c r="R9" i="2" s="1"/>
  <c r="F9" i="2"/>
  <c r="H9" i="2"/>
  <c r="P10" i="2"/>
  <c r="G10" i="2"/>
  <c r="F10" i="2"/>
  <c r="H10" i="2"/>
  <c r="P11" i="2"/>
  <c r="G11" i="2"/>
  <c r="Q11" i="2" s="1"/>
  <c r="R11" i="2" s="1"/>
  <c r="F11" i="2"/>
  <c r="H11" i="2"/>
  <c r="G12" i="2"/>
  <c r="F12" i="2"/>
  <c r="H12" i="2"/>
  <c r="P22" i="2"/>
  <c r="P18" i="2"/>
  <c r="P14" i="2"/>
  <c r="P19" i="2"/>
  <c r="P15" i="2"/>
  <c r="P28" i="2"/>
  <c r="P24" i="2"/>
  <c r="P20" i="2"/>
  <c r="P16" i="2"/>
  <c r="P29" i="2"/>
  <c r="P25" i="2"/>
  <c r="P13" i="2"/>
  <c r="G13" i="2"/>
  <c r="Q13" i="2" s="1"/>
  <c r="R13" i="2" s="1"/>
  <c r="F13" i="2"/>
  <c r="H13" i="2"/>
  <c r="G14" i="2"/>
  <c r="F14" i="2"/>
  <c r="H14" i="2"/>
  <c r="G15" i="2"/>
  <c r="F15" i="2"/>
  <c r="H15" i="2"/>
  <c r="G16" i="2"/>
  <c r="F16" i="2"/>
  <c r="H16" i="2"/>
  <c r="P17" i="2"/>
  <c r="G17" i="2"/>
  <c r="F17" i="2"/>
  <c r="H17" i="2"/>
  <c r="G18" i="2"/>
  <c r="F18" i="2"/>
  <c r="H18" i="2"/>
  <c r="G19" i="2"/>
  <c r="Q19" i="2" s="1"/>
  <c r="R19" i="2" s="1"/>
  <c r="F19" i="2"/>
  <c r="H19" i="2"/>
  <c r="G20" i="2"/>
  <c r="F20" i="2"/>
  <c r="H20" i="2"/>
  <c r="P21" i="2"/>
  <c r="G21" i="2"/>
  <c r="Q21" i="2" s="1"/>
  <c r="R21" i="2" s="1"/>
  <c r="F21" i="2"/>
  <c r="H21" i="2"/>
  <c r="G22" i="2"/>
  <c r="F22" i="2"/>
  <c r="H22" i="2"/>
  <c r="P23" i="2"/>
  <c r="G23" i="2"/>
  <c r="F23" i="2"/>
  <c r="H23" i="2"/>
  <c r="G24" i="2"/>
  <c r="F24" i="2"/>
  <c r="H24" i="2"/>
  <c r="G25" i="2"/>
  <c r="F25" i="2"/>
  <c r="H25" i="2"/>
  <c r="P31" i="2"/>
  <c r="P40" i="2"/>
  <c r="P36" i="2"/>
  <c r="P32" i="2"/>
  <c r="P41" i="2"/>
  <c r="P37" i="2"/>
  <c r="P34" i="2"/>
  <c r="P26" i="2"/>
  <c r="G26" i="2"/>
  <c r="Q26" i="2" s="1"/>
  <c r="R26" i="2" s="1"/>
  <c r="F26" i="2"/>
  <c r="H26" i="2"/>
  <c r="P27" i="2"/>
  <c r="G27" i="2"/>
  <c r="F27" i="2"/>
  <c r="H27" i="2"/>
  <c r="G28" i="2"/>
  <c r="Q28" i="2" s="1"/>
  <c r="R28" i="2" s="1"/>
  <c r="F28" i="2"/>
  <c r="H28" i="2"/>
  <c r="G29" i="2"/>
  <c r="Q29" i="2" s="1"/>
  <c r="R29" i="2" s="1"/>
  <c r="F29" i="2"/>
  <c r="H29" i="2"/>
  <c r="P30" i="2"/>
  <c r="G30" i="2"/>
  <c r="F30" i="2"/>
  <c r="H30" i="2"/>
  <c r="G31" i="2"/>
  <c r="Q31" i="2" s="1"/>
  <c r="R31" i="2" s="1"/>
  <c r="F31" i="2"/>
  <c r="H31" i="2"/>
  <c r="G32" i="2"/>
  <c r="F32" i="2"/>
  <c r="H32" i="2"/>
  <c r="P33" i="2"/>
  <c r="G33" i="2"/>
  <c r="F33" i="2"/>
  <c r="H33" i="2"/>
  <c r="G34" i="2"/>
  <c r="Q34" i="2" s="1"/>
  <c r="R34" i="2" s="1"/>
  <c r="F34" i="2"/>
  <c r="H34" i="2"/>
  <c r="G35" i="2"/>
  <c r="F35" i="2"/>
  <c r="H35" i="2"/>
  <c r="G36" i="2"/>
  <c r="Q36" i="2" s="1"/>
  <c r="R36" i="2" s="1"/>
  <c r="F36" i="2"/>
  <c r="H36" i="2"/>
  <c r="G37" i="2"/>
  <c r="F37" i="2"/>
  <c r="H37" i="2"/>
  <c r="G38" i="2"/>
  <c r="Q38" i="2" s="1"/>
  <c r="R38" i="2" s="1"/>
  <c r="F38" i="2"/>
  <c r="H38" i="2"/>
  <c r="G39" i="2"/>
  <c r="Q39" i="2" s="1"/>
  <c r="R39" i="2" s="1"/>
  <c r="F39" i="2"/>
  <c r="H39" i="2"/>
  <c r="G40" i="2"/>
  <c r="F40" i="2"/>
  <c r="H40" i="2"/>
  <c r="G41" i="2"/>
  <c r="Q41" i="2" s="1"/>
  <c r="R41" i="2" s="1"/>
  <c r="F41" i="2"/>
  <c r="H41" i="2"/>
  <c r="O42" i="2"/>
  <c r="N42" i="2"/>
  <c r="K42" i="2"/>
  <c r="J42" i="2"/>
  <c r="D42" i="2"/>
  <c r="E42" i="2" s="1"/>
  <c r="C42" i="2"/>
  <c r="Q23" i="2" l="1"/>
  <c r="R23" i="2" s="1"/>
  <c r="Q16" i="2"/>
  <c r="R16" i="2" s="1"/>
  <c r="Q14" i="2"/>
  <c r="R14" i="2" s="1"/>
  <c r="Q7" i="2"/>
  <c r="R7" i="2" s="1"/>
  <c r="Q12" i="2"/>
  <c r="R12" i="2" s="1"/>
  <c r="P42" i="2"/>
  <c r="Q32" i="2"/>
  <c r="R32" i="2" s="1"/>
  <c r="Q20" i="2"/>
  <c r="R20" i="2" s="1"/>
  <c r="Q15" i="2"/>
  <c r="R15" i="2" s="1"/>
  <c r="Q10" i="2"/>
  <c r="R10" i="2" s="1"/>
  <c r="Q22" i="2"/>
  <c r="R22" i="2" s="1"/>
  <c r="Q35" i="2"/>
  <c r="R35" i="2" s="1"/>
  <c r="Q24" i="2"/>
  <c r="R24" i="2" s="1"/>
  <c r="Q18" i="2"/>
  <c r="R18" i="2" s="1"/>
  <c r="Q40" i="2"/>
  <c r="R40" i="2" s="1"/>
  <c r="Q25" i="2"/>
  <c r="R25" i="2" s="1"/>
  <c r="Q17" i="2"/>
  <c r="R17" i="2" s="1"/>
  <c r="Q37" i="2"/>
  <c r="R37" i="2" s="1"/>
  <c r="Q30" i="2"/>
  <c r="R30" i="2" s="1"/>
  <c r="Q27" i="2"/>
  <c r="R27" i="2" s="1"/>
  <c r="Q33" i="2"/>
  <c r="R33" i="2" s="1"/>
  <c r="G42" i="2"/>
  <c r="Q42" i="2" s="1"/>
  <c r="R42" i="2" s="1"/>
  <c r="H42" i="2"/>
  <c r="F42" i="2"/>
  <c r="O43" i="2"/>
  <c r="N43" i="2"/>
  <c r="K43" i="2"/>
  <c r="J43" i="2"/>
  <c r="D43" i="2"/>
  <c r="E43" i="2" s="1"/>
  <c r="C43" i="2"/>
  <c r="O44" i="2"/>
  <c r="N44" i="2"/>
  <c r="K44" i="2"/>
  <c r="J44" i="2"/>
  <c r="D44" i="2"/>
  <c r="E44" i="2" s="1"/>
  <c r="C44" i="2"/>
  <c r="O45" i="2"/>
  <c r="N45" i="2"/>
  <c r="K45" i="2"/>
  <c r="J45" i="2"/>
  <c r="D45" i="2"/>
  <c r="E45" i="2" s="1"/>
  <c r="C45" i="2"/>
  <c r="O46" i="2"/>
  <c r="N46" i="2"/>
  <c r="K46" i="2"/>
  <c r="J46" i="2"/>
  <c r="D46" i="2"/>
  <c r="E46" i="2" s="1"/>
  <c r="C46" i="2"/>
  <c r="O47" i="2"/>
  <c r="N47" i="2"/>
  <c r="K47" i="2"/>
  <c r="J47" i="2"/>
  <c r="D47" i="2"/>
  <c r="E47" i="2" s="1"/>
  <c r="C47" i="2"/>
  <c r="O48" i="2"/>
  <c r="N48" i="2"/>
  <c r="K48" i="2"/>
  <c r="J48" i="2"/>
  <c r="D48" i="2"/>
  <c r="E48" i="2" s="1"/>
  <c r="C48" i="2"/>
  <c r="O49" i="2"/>
  <c r="N49" i="2"/>
  <c r="K49" i="2"/>
  <c r="J49" i="2"/>
  <c r="D49" i="2"/>
  <c r="E49" i="2" s="1"/>
  <c r="C49" i="2"/>
  <c r="O50" i="2"/>
  <c r="N50" i="2"/>
  <c r="K50" i="2"/>
  <c r="J50" i="2"/>
  <c r="D50" i="2"/>
  <c r="E50" i="2" s="1"/>
  <c r="C50" i="2"/>
  <c r="O51" i="2"/>
  <c r="N51" i="2"/>
  <c r="K51" i="2"/>
  <c r="J51" i="2"/>
  <c r="D51" i="2"/>
  <c r="E51" i="2" s="1"/>
  <c r="C51" i="2"/>
  <c r="O52" i="2"/>
  <c r="N52" i="2"/>
  <c r="K52" i="2"/>
  <c r="J52" i="2"/>
  <c r="D52" i="2"/>
  <c r="E52" i="2" s="1"/>
  <c r="C52" i="2"/>
  <c r="O53" i="2"/>
  <c r="N53" i="2"/>
  <c r="K53" i="2"/>
  <c r="J53" i="2"/>
  <c r="D53" i="2"/>
  <c r="E53" i="2" s="1"/>
  <c r="C53" i="2"/>
  <c r="O54" i="2"/>
  <c r="N54" i="2"/>
  <c r="K54" i="2"/>
  <c r="J54" i="2"/>
  <c r="D54" i="2"/>
  <c r="E54" i="2" s="1"/>
  <c r="C54" i="2"/>
  <c r="O55" i="2"/>
  <c r="N55" i="2"/>
  <c r="K55" i="2"/>
  <c r="J55" i="2"/>
  <c r="D55" i="2"/>
  <c r="E55" i="2" s="1"/>
  <c r="C55" i="2"/>
  <c r="O56" i="2"/>
  <c r="N56" i="2"/>
  <c r="K56" i="2"/>
  <c r="J56" i="2"/>
  <c r="D56" i="2"/>
  <c r="E56" i="2" s="1"/>
  <c r="C56" i="2"/>
  <c r="O57" i="2"/>
  <c r="N57" i="2"/>
  <c r="K57" i="2"/>
  <c r="J57" i="2"/>
  <c r="D57" i="2"/>
  <c r="E57" i="2" s="1"/>
  <c r="C57" i="2"/>
  <c r="O58" i="2"/>
  <c r="N58" i="2"/>
  <c r="K58" i="2"/>
  <c r="J58" i="2"/>
  <c r="D58" i="2"/>
  <c r="E58" i="2" s="1"/>
  <c r="C58" i="2"/>
  <c r="O59" i="2"/>
  <c r="N59" i="2"/>
  <c r="K59" i="2"/>
  <c r="J59" i="2"/>
  <c r="D59" i="2"/>
  <c r="E59" i="2" s="1"/>
  <c r="C59" i="2"/>
  <c r="P45" i="2" l="1"/>
  <c r="P57" i="2"/>
  <c r="P43" i="2"/>
  <c r="P49" i="2"/>
  <c r="P58" i="2"/>
  <c r="P46" i="2"/>
  <c r="P48" i="2"/>
  <c r="P44" i="2"/>
  <c r="G43" i="2"/>
  <c r="F43" i="2"/>
  <c r="H43" i="2"/>
  <c r="G44" i="2"/>
  <c r="Q44" i="2" s="1"/>
  <c r="R44" i="2" s="1"/>
  <c r="F44" i="2"/>
  <c r="H44" i="2"/>
  <c r="G45" i="2"/>
  <c r="Q45" i="2" s="1"/>
  <c r="R45" i="2" s="1"/>
  <c r="F45" i="2"/>
  <c r="H45" i="2"/>
  <c r="G46" i="2"/>
  <c r="Q46" i="2" s="1"/>
  <c r="R46" i="2" s="1"/>
  <c r="H46" i="2"/>
  <c r="F46" i="2"/>
  <c r="P47" i="2"/>
  <c r="G47" i="2"/>
  <c r="F47" i="2"/>
  <c r="H47" i="2"/>
  <c r="P54" i="2"/>
  <c r="P50" i="2"/>
  <c r="P59" i="2"/>
  <c r="P55" i="2"/>
  <c r="P51" i="2"/>
  <c r="P56" i="2"/>
  <c r="P52" i="2"/>
  <c r="G48" i="2"/>
  <c r="Q48" i="2" s="1"/>
  <c r="R48" i="2" s="1"/>
  <c r="H48" i="2"/>
  <c r="F48" i="2"/>
  <c r="G49" i="2"/>
  <c r="Q49" i="2" s="1"/>
  <c r="R49" i="2" s="1"/>
  <c r="F49" i="2"/>
  <c r="H49" i="2"/>
  <c r="G50" i="2"/>
  <c r="F50" i="2"/>
  <c r="H50" i="2"/>
  <c r="G51" i="2"/>
  <c r="Q51" i="2" s="1"/>
  <c r="R51" i="2" s="1"/>
  <c r="F51" i="2"/>
  <c r="H51" i="2"/>
  <c r="G52" i="2"/>
  <c r="F52" i="2"/>
  <c r="H52" i="2"/>
  <c r="P53" i="2"/>
  <c r="G53" i="2"/>
  <c r="Q53" i="2" s="1"/>
  <c r="R53" i="2" s="1"/>
  <c r="F53" i="2"/>
  <c r="H53" i="2"/>
  <c r="G54" i="2"/>
  <c r="F54" i="2"/>
  <c r="H54" i="2"/>
  <c r="G55" i="2"/>
  <c r="H55" i="2"/>
  <c r="F55" i="2"/>
  <c r="G56" i="2"/>
  <c r="F56" i="2"/>
  <c r="H56" i="2"/>
  <c r="F57" i="2"/>
  <c r="H57" i="2"/>
  <c r="G57" i="2"/>
  <c r="G58" i="2"/>
  <c r="F58" i="2"/>
  <c r="H58" i="2"/>
  <c r="G59" i="2"/>
  <c r="Q59" i="2" s="1"/>
  <c r="R59" i="2" s="1"/>
  <c r="F59" i="2"/>
  <c r="H59" i="2"/>
  <c r="O60" i="2"/>
  <c r="N60" i="2"/>
  <c r="K60" i="2"/>
  <c r="J60" i="2"/>
  <c r="D60" i="2"/>
  <c r="E60" i="2" s="1"/>
  <c r="C60" i="2"/>
  <c r="O61" i="2"/>
  <c r="N61" i="2"/>
  <c r="K61" i="2"/>
  <c r="J61" i="2"/>
  <c r="D61" i="2"/>
  <c r="E61" i="2" s="1"/>
  <c r="C61" i="2"/>
  <c r="O62" i="2"/>
  <c r="N62" i="2"/>
  <c r="K62" i="2"/>
  <c r="J62" i="2"/>
  <c r="D62" i="2"/>
  <c r="E62" i="2" s="1"/>
  <c r="C62" i="2"/>
  <c r="Q57" i="2" l="1"/>
  <c r="R57" i="2" s="1"/>
  <c r="Q43" i="2"/>
  <c r="R43" i="2" s="1"/>
  <c r="Q58" i="2"/>
  <c r="R58" i="2" s="1"/>
  <c r="Q55" i="2"/>
  <c r="R55" i="2" s="1"/>
  <c r="Q50" i="2"/>
  <c r="R50" i="2" s="1"/>
  <c r="Q56" i="2"/>
  <c r="R56" i="2" s="1"/>
  <c r="P60" i="2"/>
  <c r="Q47" i="2"/>
  <c r="R47" i="2" s="1"/>
  <c r="Q54" i="2"/>
  <c r="R54" i="2" s="1"/>
  <c r="Q52" i="2"/>
  <c r="R52" i="2" s="1"/>
  <c r="P62" i="2"/>
  <c r="H60" i="2"/>
  <c r="G60" i="2"/>
  <c r="Q60" i="2" s="1"/>
  <c r="R60" i="2" s="1"/>
  <c r="F60" i="2"/>
  <c r="P61" i="2"/>
  <c r="H61" i="2"/>
  <c r="G61" i="2"/>
  <c r="F61" i="2"/>
  <c r="G62" i="2"/>
  <c r="Q62" i="2" s="1"/>
  <c r="R62" i="2" s="1"/>
  <c r="F62" i="2"/>
  <c r="H62" i="2"/>
  <c r="O63" i="2"/>
  <c r="N63" i="2"/>
  <c r="K63" i="2"/>
  <c r="J63" i="2"/>
  <c r="D63" i="2"/>
  <c r="E63" i="2" s="1"/>
  <c r="C63" i="2"/>
  <c r="O64" i="2"/>
  <c r="N64" i="2"/>
  <c r="K64" i="2"/>
  <c r="J64" i="2"/>
  <c r="D64" i="2"/>
  <c r="E64" i="2" s="1"/>
  <c r="C64" i="2"/>
  <c r="O65" i="2"/>
  <c r="N65" i="2"/>
  <c r="K65" i="2"/>
  <c r="J65" i="2"/>
  <c r="D65" i="2"/>
  <c r="E65" i="2" s="1"/>
  <c r="C65" i="2"/>
  <c r="O66" i="2"/>
  <c r="N66" i="2"/>
  <c r="K66" i="2"/>
  <c r="J66" i="2"/>
  <c r="D66" i="2"/>
  <c r="E66" i="2" s="1"/>
  <c r="H66" i="2" s="1"/>
  <c r="C66" i="2"/>
  <c r="P63" i="2" l="1"/>
  <c r="Q61" i="2"/>
  <c r="R61" i="2" s="1"/>
  <c r="P66" i="2"/>
  <c r="G63" i="2"/>
  <c r="H63" i="2"/>
  <c r="F63" i="2"/>
  <c r="P64" i="2"/>
  <c r="G64" i="2"/>
  <c r="H64" i="2"/>
  <c r="F64" i="2"/>
  <c r="P65" i="2"/>
  <c r="G65" i="2"/>
  <c r="Q65" i="2" s="1"/>
  <c r="R65" i="2" s="1"/>
  <c r="H65" i="2"/>
  <c r="F65" i="2"/>
  <c r="G66" i="2"/>
  <c r="F66" i="2"/>
  <c r="O67" i="2"/>
  <c r="N67" i="2"/>
  <c r="K67" i="2"/>
  <c r="J67" i="2"/>
  <c r="D67" i="2"/>
  <c r="E67" i="2" s="1"/>
  <c r="C67" i="2"/>
  <c r="O68" i="2"/>
  <c r="N68" i="2"/>
  <c r="K68" i="2"/>
  <c r="J68" i="2"/>
  <c r="D68" i="2"/>
  <c r="E68" i="2" s="1"/>
  <c r="C68" i="2"/>
  <c r="O69" i="2"/>
  <c r="N69" i="2"/>
  <c r="K69" i="2"/>
  <c r="J69" i="2"/>
  <c r="D69" i="2"/>
  <c r="E69" i="2" s="1"/>
  <c r="C69" i="2"/>
  <c r="O70" i="2"/>
  <c r="N70" i="2"/>
  <c r="K70" i="2"/>
  <c r="J70" i="2"/>
  <c r="D70" i="2"/>
  <c r="E70" i="2" s="1"/>
  <c r="C70" i="2"/>
  <c r="O71" i="2"/>
  <c r="N71" i="2"/>
  <c r="K71" i="2"/>
  <c r="J71" i="2"/>
  <c r="D71" i="2"/>
  <c r="E71" i="2" s="1"/>
  <c r="C71" i="2"/>
  <c r="Q66" i="2" l="1"/>
  <c r="R66" i="2" s="1"/>
  <c r="Q63" i="2"/>
  <c r="R63" i="2" s="1"/>
  <c r="P71" i="2"/>
  <c r="P67" i="2"/>
  <c r="P68" i="2"/>
  <c r="Q64" i="2"/>
  <c r="R64" i="2" s="1"/>
  <c r="H67" i="2"/>
  <c r="G67" i="2"/>
  <c r="Q67" i="2" s="1"/>
  <c r="R67" i="2" s="1"/>
  <c r="F67" i="2"/>
  <c r="F68" i="2"/>
  <c r="G68" i="2"/>
  <c r="H68" i="2"/>
  <c r="P70" i="2"/>
  <c r="P69" i="2"/>
  <c r="F69" i="2"/>
  <c r="H69" i="2"/>
  <c r="G69" i="2"/>
  <c r="H70" i="2"/>
  <c r="G70" i="2"/>
  <c r="F70" i="2"/>
  <c r="H71" i="2"/>
  <c r="G71" i="2"/>
  <c r="F71" i="2"/>
  <c r="Q91" i="2"/>
  <c r="R91" i="2" s="1"/>
  <c r="N78" i="2"/>
  <c r="O78" i="2"/>
  <c r="Q78" i="2"/>
  <c r="C91" i="2"/>
  <c r="N91" i="2"/>
  <c r="O91" i="2"/>
  <c r="J91" i="2"/>
  <c r="K91" i="2"/>
  <c r="Q69" i="2" l="1"/>
  <c r="R69" i="2" s="1"/>
  <c r="Q71" i="2"/>
  <c r="R71" i="2" s="1"/>
  <c r="Q68" i="2"/>
  <c r="R68" i="2" s="1"/>
  <c r="Q70" i="2"/>
  <c r="R70" i="2" s="1"/>
  <c r="P91" i="2"/>
  <c r="P78" i="2"/>
  <c r="J78" i="2"/>
  <c r="K78" i="2"/>
  <c r="C167" i="2" l="1"/>
  <c r="D167" i="2"/>
  <c r="E167" i="2" s="1"/>
  <c r="J167" i="2"/>
  <c r="K167" i="2"/>
  <c r="N167" i="2"/>
  <c r="O167" i="2"/>
  <c r="P167" i="2" l="1"/>
  <c r="F167" i="2"/>
  <c r="G167" i="2"/>
  <c r="H167" i="2"/>
  <c r="Q167" i="2" l="1"/>
  <c r="R167" i="2" s="1"/>
  <c r="C119" i="2"/>
  <c r="O72" i="2" l="1"/>
  <c r="N72" i="2"/>
  <c r="K72" i="2"/>
  <c r="J72" i="2"/>
  <c r="D72" i="2"/>
  <c r="E72" i="2" s="1"/>
  <c r="C72" i="2"/>
  <c r="O73" i="2"/>
  <c r="N73" i="2"/>
  <c r="K73" i="2"/>
  <c r="J73" i="2"/>
  <c r="D73" i="2"/>
  <c r="E73" i="2" s="1"/>
  <c r="C73" i="2"/>
  <c r="P73" i="2" l="1"/>
  <c r="P72" i="2"/>
  <c r="G72" i="2"/>
  <c r="F72" i="2"/>
  <c r="H72" i="2"/>
  <c r="G73" i="2"/>
  <c r="F73" i="2"/>
  <c r="H73" i="2"/>
  <c r="Q72" i="2" l="1"/>
  <c r="R72" i="2" s="1"/>
  <c r="Q73" i="2"/>
  <c r="R73" i="2" s="1"/>
  <c r="O74" i="2"/>
  <c r="N74" i="2"/>
  <c r="K74" i="2"/>
  <c r="J74" i="2"/>
  <c r="D74" i="2"/>
  <c r="E74" i="2" s="1"/>
  <c r="C74" i="2"/>
  <c r="P74" i="2" l="1"/>
  <c r="G74" i="2"/>
  <c r="F74" i="2"/>
  <c r="H74" i="2"/>
  <c r="O75" i="2"/>
  <c r="N75" i="2"/>
  <c r="K75" i="2"/>
  <c r="J75" i="2"/>
  <c r="D75" i="2"/>
  <c r="E75" i="2" s="1"/>
  <c r="C75" i="2"/>
  <c r="O76" i="2"/>
  <c r="N76" i="2"/>
  <c r="K76" i="2"/>
  <c r="J76" i="2"/>
  <c r="D76" i="2"/>
  <c r="E76" i="2" s="1"/>
  <c r="C76" i="2"/>
  <c r="O77" i="2"/>
  <c r="N77" i="2"/>
  <c r="K77" i="2"/>
  <c r="J77" i="2"/>
  <c r="D77" i="2"/>
  <c r="E77" i="2" s="1"/>
  <c r="C77" i="2"/>
  <c r="O79" i="2"/>
  <c r="N79" i="2"/>
  <c r="K79" i="2"/>
  <c r="J79" i="2"/>
  <c r="D79" i="2"/>
  <c r="E79" i="2" s="1"/>
  <c r="C79" i="2"/>
  <c r="O80" i="2"/>
  <c r="N80" i="2"/>
  <c r="K80" i="2"/>
  <c r="J80" i="2"/>
  <c r="D80" i="2"/>
  <c r="E80" i="2" s="1"/>
  <c r="C80" i="2"/>
  <c r="O81" i="2"/>
  <c r="N81" i="2"/>
  <c r="K81" i="2"/>
  <c r="J81" i="2"/>
  <c r="D81" i="2"/>
  <c r="E81" i="2" s="1"/>
  <c r="C81" i="2"/>
  <c r="Q74" i="2" l="1"/>
  <c r="R74" i="2" s="1"/>
  <c r="P80" i="2"/>
  <c r="P77" i="2"/>
  <c r="P81" i="2"/>
  <c r="P76" i="2"/>
  <c r="P79" i="2"/>
  <c r="P75" i="2"/>
  <c r="G75" i="2"/>
  <c r="F75" i="2"/>
  <c r="H75" i="2"/>
  <c r="G76" i="2"/>
  <c r="F76" i="2"/>
  <c r="H76" i="2"/>
  <c r="G77" i="2"/>
  <c r="F77" i="2"/>
  <c r="H77" i="2"/>
  <c r="G79" i="2"/>
  <c r="F79" i="2"/>
  <c r="H79" i="2"/>
  <c r="G80" i="2"/>
  <c r="F80" i="2"/>
  <c r="H80" i="2"/>
  <c r="G81" i="2"/>
  <c r="F81" i="2"/>
  <c r="H81" i="2"/>
  <c r="Q77" i="2" l="1"/>
  <c r="R77" i="2" s="1"/>
  <c r="Q79" i="2"/>
  <c r="R79" i="2" s="1"/>
  <c r="Q80" i="2"/>
  <c r="R80" i="2" s="1"/>
  <c r="Q76" i="2"/>
  <c r="R76" i="2" s="1"/>
  <c r="Q81" i="2"/>
  <c r="R81" i="2" s="1"/>
  <c r="Q75" i="2"/>
  <c r="R75" i="2" s="1"/>
  <c r="O82" i="2" l="1"/>
  <c r="N82" i="2"/>
  <c r="K82" i="2"/>
  <c r="J82" i="2"/>
  <c r="D82" i="2"/>
  <c r="E82" i="2" s="1"/>
  <c r="C82" i="2"/>
  <c r="O83" i="2"/>
  <c r="N83" i="2"/>
  <c r="K83" i="2"/>
  <c r="J83" i="2"/>
  <c r="D83" i="2"/>
  <c r="E83" i="2" s="1"/>
  <c r="C83" i="2"/>
  <c r="O84" i="2"/>
  <c r="N84" i="2"/>
  <c r="K84" i="2"/>
  <c r="J84" i="2"/>
  <c r="D84" i="2"/>
  <c r="E84" i="2" s="1"/>
  <c r="C84" i="2"/>
  <c r="O85" i="2"/>
  <c r="N85" i="2"/>
  <c r="K85" i="2"/>
  <c r="J85" i="2"/>
  <c r="D85" i="2"/>
  <c r="E85" i="2" s="1"/>
  <c r="C85" i="2"/>
  <c r="P83" i="2" l="1"/>
  <c r="P82" i="2"/>
  <c r="P84" i="2"/>
  <c r="G82" i="2"/>
  <c r="F82" i="2"/>
  <c r="H82" i="2"/>
  <c r="G83" i="2"/>
  <c r="F83" i="2"/>
  <c r="H83" i="2"/>
  <c r="G84" i="2"/>
  <c r="F84" i="2"/>
  <c r="H84" i="2"/>
  <c r="P85" i="2"/>
  <c r="G85" i="2"/>
  <c r="H85" i="2"/>
  <c r="F85" i="2"/>
  <c r="Q82" i="2" l="1"/>
  <c r="R82" i="2" s="1"/>
  <c r="Q85" i="2"/>
  <c r="R85" i="2" s="1"/>
  <c r="Q83" i="2"/>
  <c r="R83" i="2" s="1"/>
  <c r="Q84" i="2"/>
  <c r="R84" i="2" s="1"/>
  <c r="O86" i="2"/>
  <c r="N86" i="2"/>
  <c r="K86" i="2"/>
  <c r="J86" i="2"/>
  <c r="D86" i="2"/>
  <c r="E86" i="2" s="1"/>
  <c r="C86" i="2"/>
  <c r="O87" i="2"/>
  <c r="N87" i="2"/>
  <c r="K87" i="2"/>
  <c r="J87" i="2"/>
  <c r="D87" i="2"/>
  <c r="E87" i="2" s="1"/>
  <c r="C87" i="2"/>
  <c r="P86" i="2" l="1"/>
  <c r="G86" i="2"/>
  <c r="F86" i="2"/>
  <c r="H86" i="2"/>
  <c r="P87" i="2"/>
  <c r="G87" i="2"/>
  <c r="F87" i="2"/>
  <c r="H87" i="2"/>
  <c r="Q87" i="2" l="1"/>
  <c r="R87" i="2" s="1"/>
  <c r="Q86" i="2"/>
  <c r="R86" i="2" s="1"/>
  <c r="O88" i="2" l="1"/>
  <c r="N88" i="2"/>
  <c r="K88" i="2"/>
  <c r="J88" i="2"/>
  <c r="D88" i="2"/>
  <c r="E88" i="2" s="1"/>
  <c r="C88" i="2"/>
  <c r="O89" i="2"/>
  <c r="N89" i="2"/>
  <c r="K89" i="2"/>
  <c r="J89" i="2"/>
  <c r="D89" i="2"/>
  <c r="E89" i="2" s="1"/>
  <c r="C89" i="2"/>
  <c r="O90" i="2"/>
  <c r="N90" i="2"/>
  <c r="K90" i="2"/>
  <c r="J90" i="2"/>
  <c r="D90" i="2"/>
  <c r="E90" i="2" s="1"/>
  <c r="C90" i="2"/>
  <c r="P88" i="2" l="1"/>
  <c r="P89" i="2"/>
  <c r="P90" i="2"/>
  <c r="G88" i="2"/>
  <c r="F88" i="2"/>
  <c r="H88" i="2"/>
  <c r="G89" i="2"/>
  <c r="F89" i="2"/>
  <c r="H89" i="2"/>
  <c r="G90" i="2"/>
  <c r="F90" i="2"/>
  <c r="H90" i="2"/>
  <c r="Q88" i="2" l="1"/>
  <c r="R88" i="2" s="1"/>
  <c r="Q90" i="2"/>
  <c r="R90" i="2" s="1"/>
  <c r="Q89" i="2"/>
  <c r="R89" i="2" s="1"/>
  <c r="O92" i="2"/>
  <c r="N92" i="2"/>
  <c r="K92" i="2"/>
  <c r="J92" i="2"/>
  <c r="D92" i="2"/>
  <c r="E92" i="2" s="1"/>
  <c r="C92" i="2"/>
  <c r="O93" i="2"/>
  <c r="N93" i="2"/>
  <c r="K93" i="2"/>
  <c r="J93" i="2"/>
  <c r="D93" i="2"/>
  <c r="E93" i="2" s="1"/>
  <c r="C93" i="2"/>
  <c r="O94" i="2"/>
  <c r="N94" i="2"/>
  <c r="K94" i="2"/>
  <c r="J94" i="2"/>
  <c r="D94" i="2"/>
  <c r="E94" i="2" s="1"/>
  <c r="C94" i="2"/>
  <c r="O95" i="2"/>
  <c r="N95" i="2"/>
  <c r="K95" i="2"/>
  <c r="J95" i="2"/>
  <c r="D95" i="2"/>
  <c r="E95" i="2" s="1"/>
  <c r="C95" i="2"/>
  <c r="O96" i="2"/>
  <c r="N96" i="2"/>
  <c r="K96" i="2"/>
  <c r="J96" i="2"/>
  <c r="D96" i="2"/>
  <c r="E96" i="2" s="1"/>
  <c r="C96" i="2"/>
  <c r="O97" i="2"/>
  <c r="N97" i="2"/>
  <c r="K97" i="2"/>
  <c r="J97" i="2"/>
  <c r="D97" i="2"/>
  <c r="E97" i="2" s="1"/>
  <c r="C97" i="2"/>
  <c r="C98" i="2"/>
  <c r="D98" i="2"/>
  <c r="E98" i="2" s="1"/>
  <c r="J98" i="2"/>
  <c r="K98" i="2"/>
  <c r="N98" i="2"/>
  <c r="O98" i="2"/>
  <c r="O99" i="2"/>
  <c r="N99" i="2"/>
  <c r="K99" i="2"/>
  <c r="J99" i="2"/>
  <c r="D99" i="2"/>
  <c r="E99" i="2" s="1"/>
  <c r="C99" i="2"/>
  <c r="O100" i="2"/>
  <c r="N100" i="2"/>
  <c r="K100" i="2"/>
  <c r="J100" i="2"/>
  <c r="D100" i="2"/>
  <c r="E100" i="2" s="1"/>
  <c r="C100" i="2"/>
  <c r="O101" i="2"/>
  <c r="N101" i="2"/>
  <c r="K101" i="2"/>
  <c r="J101" i="2"/>
  <c r="D101" i="2"/>
  <c r="E101" i="2" s="1"/>
  <c r="C101" i="2"/>
  <c r="O102" i="2"/>
  <c r="N102" i="2"/>
  <c r="K102" i="2"/>
  <c r="J102" i="2"/>
  <c r="D102" i="2"/>
  <c r="E102" i="2" s="1"/>
  <c r="C102" i="2"/>
  <c r="P96" i="2" l="1"/>
  <c r="P94" i="2"/>
  <c r="P92" i="2"/>
  <c r="P97" i="2"/>
  <c r="G92" i="2"/>
  <c r="H92" i="2"/>
  <c r="F92" i="2"/>
  <c r="P93" i="2"/>
  <c r="G93" i="2"/>
  <c r="F93" i="2"/>
  <c r="H93" i="2"/>
  <c r="G94" i="2"/>
  <c r="F94" i="2"/>
  <c r="H94" i="2"/>
  <c r="P95" i="2"/>
  <c r="G95" i="2"/>
  <c r="F95" i="2"/>
  <c r="H95" i="2"/>
  <c r="G96" i="2"/>
  <c r="F96" i="2"/>
  <c r="H96" i="2"/>
  <c r="G97" i="2"/>
  <c r="F97" i="2"/>
  <c r="H97" i="2"/>
  <c r="P98" i="2"/>
  <c r="P99" i="2"/>
  <c r="F98" i="2"/>
  <c r="G98" i="2"/>
  <c r="H98" i="2"/>
  <c r="P101" i="2"/>
  <c r="P102" i="2"/>
  <c r="G99" i="2"/>
  <c r="F99" i="2"/>
  <c r="H99" i="2"/>
  <c r="P100" i="2"/>
  <c r="G100" i="2"/>
  <c r="H100" i="2"/>
  <c r="F100" i="2"/>
  <c r="G101" i="2"/>
  <c r="F101" i="2"/>
  <c r="H101" i="2"/>
  <c r="G102" i="2"/>
  <c r="F102" i="2"/>
  <c r="H102" i="2"/>
  <c r="Q97" i="2" l="1"/>
  <c r="R97" i="2" s="1"/>
  <c r="Q92" i="2"/>
  <c r="R92" i="2" s="1"/>
  <c r="Q102" i="2"/>
  <c r="R102" i="2" s="1"/>
  <c r="Q93" i="2"/>
  <c r="R93" i="2" s="1"/>
  <c r="Q95" i="2"/>
  <c r="R95" i="2" s="1"/>
  <c r="Q96" i="2"/>
  <c r="R96" i="2" s="1"/>
  <c r="Q94" i="2"/>
  <c r="R94" i="2" s="1"/>
  <c r="Q98" i="2"/>
  <c r="R98" i="2" s="1"/>
  <c r="Q99" i="2"/>
  <c r="R99" i="2" s="1"/>
  <c r="Q101" i="2"/>
  <c r="R101" i="2" s="1"/>
  <c r="Q100" i="2"/>
  <c r="R100" i="2" s="1"/>
  <c r="O103" i="2" l="1"/>
  <c r="N103" i="2"/>
  <c r="K103" i="2"/>
  <c r="J103" i="2"/>
  <c r="D103" i="2"/>
  <c r="E103" i="2" s="1"/>
  <c r="C103" i="2"/>
  <c r="O104" i="2"/>
  <c r="N104" i="2"/>
  <c r="K104" i="2"/>
  <c r="J104" i="2"/>
  <c r="D104" i="2"/>
  <c r="E104" i="2" s="1"/>
  <c r="C104" i="2"/>
  <c r="O105" i="2"/>
  <c r="N105" i="2"/>
  <c r="K105" i="2"/>
  <c r="J105" i="2"/>
  <c r="D105" i="2"/>
  <c r="E105" i="2" s="1"/>
  <c r="C105" i="2"/>
  <c r="O106" i="2"/>
  <c r="N106" i="2"/>
  <c r="K106" i="2"/>
  <c r="J106" i="2"/>
  <c r="D106" i="2"/>
  <c r="E106" i="2" s="1"/>
  <c r="C106" i="2"/>
  <c r="O107" i="2"/>
  <c r="N107" i="2"/>
  <c r="K107" i="2"/>
  <c r="J107" i="2"/>
  <c r="D107" i="2"/>
  <c r="E107" i="2" s="1"/>
  <c r="C107" i="2"/>
  <c r="O108" i="2"/>
  <c r="N108" i="2"/>
  <c r="K108" i="2"/>
  <c r="J108" i="2"/>
  <c r="D108" i="2"/>
  <c r="E108" i="2" s="1"/>
  <c r="C108" i="2"/>
  <c r="O109" i="2"/>
  <c r="N109" i="2"/>
  <c r="K109" i="2"/>
  <c r="J109" i="2"/>
  <c r="D109" i="2"/>
  <c r="E109" i="2" s="1"/>
  <c r="C109" i="2"/>
  <c r="O110" i="2"/>
  <c r="N110" i="2"/>
  <c r="K110" i="2"/>
  <c r="J110" i="2"/>
  <c r="D110" i="2"/>
  <c r="E110" i="2" s="1"/>
  <c r="C110" i="2"/>
  <c r="O111" i="2"/>
  <c r="N111" i="2"/>
  <c r="K111" i="2"/>
  <c r="J111" i="2"/>
  <c r="D111" i="2"/>
  <c r="E111" i="2" s="1"/>
  <c r="C111" i="2"/>
  <c r="O112" i="2"/>
  <c r="N112" i="2"/>
  <c r="K112" i="2"/>
  <c r="J112" i="2"/>
  <c r="D112" i="2"/>
  <c r="E112" i="2" s="1"/>
  <c r="C112" i="2"/>
  <c r="O113" i="2"/>
  <c r="N113" i="2"/>
  <c r="K113" i="2"/>
  <c r="J113" i="2"/>
  <c r="D113" i="2"/>
  <c r="E113" i="2" s="1"/>
  <c r="C113" i="2"/>
  <c r="O114" i="2"/>
  <c r="N114" i="2"/>
  <c r="K114" i="2"/>
  <c r="J114" i="2"/>
  <c r="D114" i="2"/>
  <c r="E114" i="2" s="1"/>
  <c r="C114" i="2"/>
  <c r="P103" i="2" l="1"/>
  <c r="P114" i="2"/>
  <c r="P106" i="2"/>
  <c r="P107" i="2"/>
  <c r="P108" i="2"/>
  <c r="P113" i="2"/>
  <c r="P109" i="2"/>
  <c r="G103" i="2"/>
  <c r="H103" i="2"/>
  <c r="F103" i="2"/>
  <c r="P104" i="2"/>
  <c r="G104" i="2"/>
  <c r="F104" i="2"/>
  <c r="H104" i="2"/>
  <c r="P105" i="2"/>
  <c r="G105" i="2"/>
  <c r="F105" i="2"/>
  <c r="H105" i="2"/>
  <c r="G106" i="2"/>
  <c r="F106" i="2"/>
  <c r="H106" i="2"/>
  <c r="G107" i="2"/>
  <c r="H107" i="2"/>
  <c r="F107" i="2"/>
  <c r="G108" i="2"/>
  <c r="H108" i="2"/>
  <c r="F108" i="2"/>
  <c r="G109" i="2"/>
  <c r="F109" i="2"/>
  <c r="H109" i="2"/>
  <c r="P110" i="2"/>
  <c r="G110" i="2"/>
  <c r="F110" i="2"/>
  <c r="H110" i="2"/>
  <c r="P111" i="2"/>
  <c r="G111" i="2"/>
  <c r="F111" i="2"/>
  <c r="H111" i="2"/>
  <c r="P112" i="2"/>
  <c r="G112" i="2"/>
  <c r="F112" i="2"/>
  <c r="H112" i="2"/>
  <c r="G113" i="2"/>
  <c r="F113" i="2"/>
  <c r="H113" i="2"/>
  <c r="G114" i="2"/>
  <c r="F114" i="2"/>
  <c r="H114" i="2"/>
  <c r="Q106" i="2" l="1"/>
  <c r="R106" i="2" s="1"/>
  <c r="Q107" i="2"/>
  <c r="R107" i="2" s="1"/>
  <c r="Q112" i="2"/>
  <c r="R112" i="2" s="1"/>
  <c r="Q110" i="2"/>
  <c r="R110" i="2" s="1"/>
  <c r="Q108" i="2"/>
  <c r="R108" i="2" s="1"/>
  <c r="Q114" i="2"/>
  <c r="R114" i="2" s="1"/>
  <c r="Q103" i="2"/>
  <c r="R103" i="2" s="1"/>
  <c r="Q109" i="2"/>
  <c r="R109" i="2" s="1"/>
  <c r="Q113" i="2"/>
  <c r="R113" i="2" s="1"/>
  <c r="Q104" i="2"/>
  <c r="R104" i="2" s="1"/>
  <c r="Q105" i="2"/>
  <c r="R105" i="2" s="1"/>
  <c r="Q111" i="2"/>
  <c r="R111" i="2" s="1"/>
  <c r="O115" i="2" l="1"/>
  <c r="N115" i="2"/>
  <c r="K115" i="2"/>
  <c r="J115" i="2"/>
  <c r="D115" i="2"/>
  <c r="E115" i="2" s="1"/>
  <c r="C115" i="2"/>
  <c r="O116" i="2"/>
  <c r="N116" i="2"/>
  <c r="K116" i="2"/>
  <c r="J116" i="2"/>
  <c r="D116" i="2"/>
  <c r="E116" i="2" s="1"/>
  <c r="C116" i="2"/>
  <c r="O117" i="2"/>
  <c r="N117" i="2"/>
  <c r="K117" i="2"/>
  <c r="J117" i="2"/>
  <c r="D117" i="2"/>
  <c r="E117" i="2" s="1"/>
  <c r="C117" i="2"/>
  <c r="O118" i="2"/>
  <c r="N118" i="2"/>
  <c r="K118" i="2"/>
  <c r="J118" i="2"/>
  <c r="D118" i="2"/>
  <c r="E118" i="2" s="1"/>
  <c r="C118" i="2"/>
  <c r="O119" i="2"/>
  <c r="N119" i="2"/>
  <c r="K119" i="2"/>
  <c r="J119" i="2"/>
  <c r="D119" i="2"/>
  <c r="E119" i="2" s="1"/>
  <c r="O120" i="2"/>
  <c r="N120" i="2"/>
  <c r="K120" i="2"/>
  <c r="J120" i="2"/>
  <c r="D120" i="2"/>
  <c r="E120" i="2" s="1"/>
  <c r="C120" i="2"/>
  <c r="O121" i="2"/>
  <c r="N121" i="2"/>
  <c r="K121" i="2"/>
  <c r="J121" i="2"/>
  <c r="D121" i="2"/>
  <c r="E121" i="2" s="1"/>
  <c r="C121" i="2"/>
  <c r="O122" i="2"/>
  <c r="N122" i="2"/>
  <c r="K122" i="2"/>
  <c r="J122" i="2"/>
  <c r="D122" i="2"/>
  <c r="E122" i="2" s="1"/>
  <c r="C122" i="2"/>
  <c r="O123" i="2"/>
  <c r="N123" i="2"/>
  <c r="K123" i="2"/>
  <c r="J123" i="2"/>
  <c r="D123" i="2"/>
  <c r="E123" i="2" s="1"/>
  <c r="C123" i="2"/>
  <c r="O124" i="2"/>
  <c r="N124" i="2"/>
  <c r="K124" i="2"/>
  <c r="J124" i="2"/>
  <c r="D124" i="2"/>
  <c r="E124" i="2" s="1"/>
  <c r="C124" i="2"/>
  <c r="O125" i="2"/>
  <c r="N125" i="2"/>
  <c r="K125" i="2"/>
  <c r="J125" i="2"/>
  <c r="D125" i="2"/>
  <c r="E125" i="2" s="1"/>
  <c r="C125" i="2"/>
  <c r="O126" i="2"/>
  <c r="N126" i="2"/>
  <c r="K126" i="2"/>
  <c r="J126" i="2"/>
  <c r="D126" i="2"/>
  <c r="E126" i="2" s="1"/>
  <c r="C126" i="2"/>
  <c r="O127" i="2"/>
  <c r="N127" i="2"/>
  <c r="K127" i="2"/>
  <c r="J127" i="2"/>
  <c r="D127" i="2"/>
  <c r="E127" i="2" s="1"/>
  <c r="C127" i="2"/>
  <c r="P127" i="2" l="1"/>
  <c r="P123" i="2"/>
  <c r="P119" i="2"/>
  <c r="P122" i="2"/>
  <c r="P118" i="2"/>
  <c r="P115" i="2"/>
  <c r="G115" i="2"/>
  <c r="F115" i="2"/>
  <c r="H115" i="2"/>
  <c r="P116" i="2"/>
  <c r="G116" i="2"/>
  <c r="F116" i="2"/>
  <c r="H116" i="2"/>
  <c r="P117" i="2"/>
  <c r="G117" i="2"/>
  <c r="F117" i="2"/>
  <c r="H117" i="2"/>
  <c r="G118" i="2"/>
  <c r="H118" i="2"/>
  <c r="F118" i="2"/>
  <c r="G119" i="2"/>
  <c r="F119" i="2"/>
  <c r="H119" i="2"/>
  <c r="P120" i="2"/>
  <c r="G120" i="2"/>
  <c r="F120" i="2"/>
  <c r="H120" i="2"/>
  <c r="P121" i="2"/>
  <c r="G121" i="2"/>
  <c r="F121" i="2"/>
  <c r="H121" i="2"/>
  <c r="G122" i="2"/>
  <c r="F122" i="2"/>
  <c r="H122" i="2"/>
  <c r="G123" i="2"/>
  <c r="F123" i="2"/>
  <c r="H123" i="2"/>
  <c r="P124" i="2"/>
  <c r="G124" i="2"/>
  <c r="F124" i="2"/>
  <c r="H124" i="2"/>
  <c r="P125" i="2"/>
  <c r="G125" i="2"/>
  <c r="F125" i="2"/>
  <c r="H125" i="2"/>
  <c r="P126" i="2"/>
  <c r="G126" i="2"/>
  <c r="F126" i="2"/>
  <c r="H126" i="2"/>
  <c r="G127" i="2"/>
  <c r="F127" i="2"/>
  <c r="H127" i="2"/>
  <c r="Q118" i="2" l="1"/>
  <c r="R118" i="2" s="1"/>
  <c r="Q119" i="2"/>
  <c r="R119" i="2" s="1"/>
  <c r="Q127" i="2"/>
  <c r="R127" i="2" s="1"/>
  <c r="Q125" i="2"/>
  <c r="R125" i="2" s="1"/>
  <c r="Q123" i="2"/>
  <c r="R123" i="2" s="1"/>
  <c r="Q115" i="2"/>
  <c r="R115" i="2" s="1"/>
  <c r="Q122" i="2"/>
  <c r="R122" i="2" s="1"/>
  <c r="Q116" i="2"/>
  <c r="R116" i="2" s="1"/>
  <c r="Q117" i="2"/>
  <c r="R117" i="2" s="1"/>
  <c r="Q120" i="2"/>
  <c r="R120" i="2" s="1"/>
  <c r="Q121" i="2"/>
  <c r="R121" i="2" s="1"/>
  <c r="Q124" i="2"/>
  <c r="R124" i="2" s="1"/>
  <c r="Q126" i="2"/>
  <c r="R126" i="2" s="1"/>
  <c r="O128" i="2" l="1"/>
  <c r="N128" i="2"/>
  <c r="K128" i="2"/>
  <c r="J128" i="2"/>
  <c r="D128" i="2"/>
  <c r="E128" i="2" s="1"/>
  <c r="C128" i="2"/>
  <c r="O129" i="2"/>
  <c r="N129" i="2"/>
  <c r="K129" i="2"/>
  <c r="J129" i="2"/>
  <c r="D129" i="2"/>
  <c r="E129" i="2" s="1"/>
  <c r="C129" i="2"/>
  <c r="O130" i="2"/>
  <c r="N130" i="2"/>
  <c r="K130" i="2"/>
  <c r="J130" i="2"/>
  <c r="D130" i="2"/>
  <c r="E130" i="2" s="1"/>
  <c r="C130" i="2"/>
  <c r="O131" i="2"/>
  <c r="N131" i="2"/>
  <c r="K131" i="2"/>
  <c r="J131" i="2"/>
  <c r="D131" i="2"/>
  <c r="E131" i="2" s="1"/>
  <c r="C131" i="2"/>
  <c r="O132" i="2"/>
  <c r="N132" i="2"/>
  <c r="K132" i="2"/>
  <c r="J132" i="2"/>
  <c r="D132" i="2"/>
  <c r="E132" i="2" s="1"/>
  <c r="C132" i="2"/>
  <c r="O133" i="2"/>
  <c r="N133" i="2"/>
  <c r="K133" i="2"/>
  <c r="J133" i="2"/>
  <c r="D133" i="2"/>
  <c r="E133" i="2" s="1"/>
  <c r="C133" i="2"/>
  <c r="O134" i="2"/>
  <c r="N134" i="2"/>
  <c r="K134" i="2"/>
  <c r="J134" i="2"/>
  <c r="D134" i="2"/>
  <c r="E134" i="2" s="1"/>
  <c r="C134" i="2"/>
  <c r="P134" i="2" l="1"/>
  <c r="P128" i="2"/>
  <c r="P133" i="2"/>
  <c r="P129" i="2"/>
  <c r="P131" i="2"/>
  <c r="P132" i="2"/>
  <c r="G128" i="2"/>
  <c r="F128" i="2"/>
  <c r="H128" i="2"/>
  <c r="G129" i="2"/>
  <c r="F129" i="2"/>
  <c r="H129" i="2"/>
  <c r="P130" i="2"/>
  <c r="G130" i="2"/>
  <c r="F130" i="2"/>
  <c r="H130" i="2"/>
  <c r="G131" i="2"/>
  <c r="H131" i="2"/>
  <c r="F131" i="2"/>
  <c r="G132" i="2"/>
  <c r="F132" i="2"/>
  <c r="H132" i="2"/>
  <c r="G133" i="2"/>
  <c r="Q133" i="2" s="1"/>
  <c r="R133" i="2" s="1"/>
  <c r="F133" i="2"/>
  <c r="H133" i="2"/>
  <c r="G134" i="2"/>
  <c r="F134" i="2"/>
  <c r="H134" i="2"/>
  <c r="Q134" i="2" l="1"/>
  <c r="R134" i="2" s="1"/>
  <c r="Q131" i="2"/>
  <c r="R131" i="2" s="1"/>
  <c r="Q129" i="2"/>
  <c r="R129" i="2" s="1"/>
  <c r="Q128" i="2"/>
  <c r="R128" i="2" s="1"/>
  <c r="Q132" i="2"/>
  <c r="R132" i="2" s="1"/>
  <c r="Q130" i="2"/>
  <c r="R130" i="2" s="1"/>
  <c r="O135" i="2" l="1"/>
  <c r="N135" i="2"/>
  <c r="K135" i="2"/>
  <c r="J135" i="2"/>
  <c r="D135" i="2"/>
  <c r="E135" i="2" s="1"/>
  <c r="C135" i="2"/>
  <c r="O136" i="2"/>
  <c r="N136" i="2"/>
  <c r="K136" i="2"/>
  <c r="J136" i="2"/>
  <c r="D136" i="2"/>
  <c r="E136" i="2" s="1"/>
  <c r="C136" i="2"/>
  <c r="O137" i="2"/>
  <c r="N137" i="2"/>
  <c r="K137" i="2"/>
  <c r="J137" i="2"/>
  <c r="D137" i="2"/>
  <c r="E137" i="2" s="1"/>
  <c r="C137" i="2"/>
  <c r="O138" i="2"/>
  <c r="N138" i="2"/>
  <c r="K138" i="2"/>
  <c r="J138" i="2"/>
  <c r="D138" i="2"/>
  <c r="E138" i="2" s="1"/>
  <c r="C138" i="2"/>
  <c r="O139" i="2"/>
  <c r="N139" i="2"/>
  <c r="K139" i="2"/>
  <c r="J139" i="2"/>
  <c r="D139" i="2"/>
  <c r="E139" i="2" s="1"/>
  <c r="C139" i="2"/>
  <c r="O140" i="2"/>
  <c r="N140" i="2"/>
  <c r="K140" i="2"/>
  <c r="J140" i="2"/>
  <c r="D140" i="2"/>
  <c r="E140" i="2" s="1"/>
  <c r="C140" i="2"/>
  <c r="P137" i="2" l="1"/>
  <c r="P135" i="2"/>
  <c r="P140" i="2"/>
  <c r="P136" i="2"/>
  <c r="P138" i="2"/>
  <c r="P139" i="2"/>
  <c r="G135" i="2"/>
  <c r="F135" i="2"/>
  <c r="H135" i="2"/>
  <c r="G136" i="2"/>
  <c r="F136" i="2"/>
  <c r="H136" i="2"/>
  <c r="G137" i="2"/>
  <c r="F137" i="2"/>
  <c r="H137" i="2"/>
  <c r="G138" i="2"/>
  <c r="F138" i="2"/>
  <c r="H138" i="2"/>
  <c r="G139" i="2"/>
  <c r="F139" i="2"/>
  <c r="H139" i="2"/>
  <c r="G140" i="2"/>
  <c r="F140" i="2"/>
  <c r="H140" i="2"/>
  <c r="Q138" i="2" l="1"/>
  <c r="R138" i="2" s="1"/>
  <c r="Q137" i="2"/>
  <c r="R137" i="2" s="1"/>
  <c r="Q140" i="2"/>
  <c r="R140" i="2" s="1"/>
  <c r="Q135" i="2"/>
  <c r="R135" i="2" s="1"/>
  <c r="Q136" i="2"/>
  <c r="R136" i="2" s="1"/>
  <c r="Q139" i="2"/>
  <c r="R139" i="2" s="1"/>
  <c r="O141" i="2"/>
  <c r="N141" i="2"/>
  <c r="K141" i="2"/>
  <c r="J141" i="2"/>
  <c r="D141" i="2"/>
  <c r="E141" i="2" s="1"/>
  <c r="C141" i="2"/>
  <c r="O142" i="2"/>
  <c r="N142" i="2"/>
  <c r="K142" i="2"/>
  <c r="J142" i="2"/>
  <c r="D142" i="2"/>
  <c r="E142" i="2" s="1"/>
  <c r="C142" i="2"/>
  <c r="O143" i="2"/>
  <c r="N143" i="2"/>
  <c r="K143" i="2"/>
  <c r="J143" i="2"/>
  <c r="D143" i="2"/>
  <c r="E143" i="2" s="1"/>
  <c r="C143" i="2"/>
  <c r="O144" i="2"/>
  <c r="N144" i="2"/>
  <c r="K144" i="2"/>
  <c r="J144" i="2"/>
  <c r="D144" i="2"/>
  <c r="E144" i="2" s="1"/>
  <c r="C144" i="2"/>
  <c r="O145" i="2"/>
  <c r="N145" i="2"/>
  <c r="K145" i="2"/>
  <c r="J145" i="2"/>
  <c r="D145" i="2"/>
  <c r="E145" i="2" s="1"/>
  <c r="C145" i="2"/>
  <c r="O146" i="2"/>
  <c r="N146" i="2"/>
  <c r="K146" i="2"/>
  <c r="J146" i="2"/>
  <c r="D146" i="2"/>
  <c r="E146" i="2" s="1"/>
  <c r="C146" i="2"/>
  <c r="O147" i="2"/>
  <c r="N147" i="2"/>
  <c r="K147" i="2"/>
  <c r="J147" i="2"/>
  <c r="D147" i="2"/>
  <c r="E147" i="2" s="1"/>
  <c r="C147" i="2"/>
  <c r="P147" i="2" l="1"/>
  <c r="P141" i="2"/>
  <c r="P145" i="2"/>
  <c r="P146" i="2"/>
  <c r="P142" i="2"/>
  <c r="G141" i="2"/>
  <c r="F141" i="2"/>
  <c r="H141" i="2"/>
  <c r="G142" i="2"/>
  <c r="F142" i="2"/>
  <c r="H142" i="2"/>
  <c r="P143" i="2"/>
  <c r="G143" i="2"/>
  <c r="F143" i="2"/>
  <c r="H143" i="2"/>
  <c r="P144" i="2"/>
  <c r="G144" i="2"/>
  <c r="H144" i="2"/>
  <c r="F144" i="2"/>
  <c r="G145" i="2"/>
  <c r="H145" i="2"/>
  <c r="F145" i="2"/>
  <c r="G146" i="2"/>
  <c r="F146" i="2"/>
  <c r="H146" i="2"/>
  <c r="H147" i="2"/>
  <c r="G147" i="2"/>
  <c r="F147" i="2"/>
  <c r="Q145" i="2" l="1"/>
  <c r="R145" i="2" s="1"/>
  <c r="Q146" i="2"/>
  <c r="R146" i="2" s="1"/>
  <c r="Q143" i="2"/>
  <c r="R143" i="2" s="1"/>
  <c r="Q147" i="2"/>
  <c r="R147" i="2" s="1"/>
  <c r="Q142" i="2"/>
  <c r="R142" i="2" s="1"/>
  <c r="Q141" i="2"/>
  <c r="R141" i="2" s="1"/>
  <c r="Q144" i="2"/>
  <c r="R144" i="2" s="1"/>
  <c r="O148" i="2" l="1"/>
  <c r="N148" i="2"/>
  <c r="K148" i="2"/>
  <c r="J148" i="2"/>
  <c r="D148" i="2"/>
  <c r="E148" i="2" s="1"/>
  <c r="C148" i="2"/>
  <c r="O149" i="2"/>
  <c r="N149" i="2"/>
  <c r="K149" i="2"/>
  <c r="J149" i="2"/>
  <c r="D149" i="2"/>
  <c r="E149" i="2" s="1"/>
  <c r="C149" i="2"/>
  <c r="O150" i="2"/>
  <c r="N150" i="2"/>
  <c r="K150" i="2"/>
  <c r="J150" i="2"/>
  <c r="D150" i="2"/>
  <c r="E150" i="2" s="1"/>
  <c r="C150" i="2"/>
  <c r="O151" i="2"/>
  <c r="N151" i="2"/>
  <c r="K151" i="2"/>
  <c r="J151" i="2"/>
  <c r="D151" i="2"/>
  <c r="E151" i="2" s="1"/>
  <c r="C151" i="2"/>
  <c r="O152" i="2"/>
  <c r="N152" i="2"/>
  <c r="K152" i="2"/>
  <c r="J152" i="2"/>
  <c r="D152" i="2"/>
  <c r="E152" i="2" s="1"/>
  <c r="C152" i="2"/>
  <c r="O153" i="2"/>
  <c r="N153" i="2"/>
  <c r="K153" i="2"/>
  <c r="J153" i="2"/>
  <c r="D153" i="2"/>
  <c r="E153" i="2" s="1"/>
  <c r="C153" i="2"/>
  <c r="O154" i="2"/>
  <c r="N154" i="2"/>
  <c r="K154" i="2"/>
  <c r="J154" i="2"/>
  <c r="D154" i="2"/>
  <c r="E154" i="2" s="1"/>
  <c r="C154" i="2"/>
  <c r="O155" i="2"/>
  <c r="N155" i="2"/>
  <c r="K155" i="2"/>
  <c r="J155" i="2"/>
  <c r="D155" i="2"/>
  <c r="E155" i="2" s="1"/>
  <c r="H155" i="2" s="1"/>
  <c r="C155" i="2"/>
  <c r="P153" i="2" l="1"/>
  <c r="P149" i="2"/>
  <c r="P154" i="2"/>
  <c r="P150" i="2"/>
  <c r="P155" i="2"/>
  <c r="P151" i="2"/>
  <c r="P152" i="2"/>
  <c r="P148" i="2"/>
  <c r="G148" i="2"/>
  <c r="H148" i="2"/>
  <c r="F148" i="2"/>
  <c r="G149" i="2"/>
  <c r="H149" i="2"/>
  <c r="F149" i="2"/>
  <c r="G150" i="2"/>
  <c r="H150" i="2"/>
  <c r="F150" i="2"/>
  <c r="G151" i="2"/>
  <c r="H151" i="2"/>
  <c r="F151" i="2"/>
  <c r="G152" i="2"/>
  <c r="H152" i="2"/>
  <c r="F152" i="2"/>
  <c r="G153" i="2"/>
  <c r="H153" i="2"/>
  <c r="F153" i="2"/>
  <c r="G154" i="2"/>
  <c r="H154" i="2"/>
  <c r="F154" i="2"/>
  <c r="G155" i="2"/>
  <c r="F155" i="2"/>
  <c r="O156" i="2"/>
  <c r="N156" i="2"/>
  <c r="K156" i="2"/>
  <c r="J156" i="2"/>
  <c r="D156" i="2"/>
  <c r="E156" i="2" s="1"/>
  <c r="C156" i="2"/>
  <c r="O157" i="2"/>
  <c r="N157" i="2"/>
  <c r="K157" i="2"/>
  <c r="J157" i="2"/>
  <c r="D157" i="2"/>
  <c r="E157" i="2" s="1"/>
  <c r="C157" i="2"/>
  <c r="O158" i="2"/>
  <c r="N158" i="2"/>
  <c r="K158" i="2"/>
  <c r="J158" i="2"/>
  <c r="D158" i="2"/>
  <c r="E158" i="2" s="1"/>
  <c r="C158" i="2"/>
  <c r="O159" i="2"/>
  <c r="N159" i="2"/>
  <c r="K159" i="2"/>
  <c r="J159" i="2"/>
  <c r="D159" i="2"/>
  <c r="E159" i="2" s="1"/>
  <c r="C159" i="2"/>
  <c r="O160" i="2"/>
  <c r="N160" i="2"/>
  <c r="K160" i="2"/>
  <c r="J160" i="2"/>
  <c r="D160" i="2"/>
  <c r="E160" i="2" s="1"/>
  <c r="C160" i="2"/>
  <c r="O161" i="2"/>
  <c r="N161" i="2"/>
  <c r="K161" i="2"/>
  <c r="J161" i="2"/>
  <c r="D161" i="2"/>
  <c r="E161" i="2" s="1"/>
  <c r="C161" i="2"/>
  <c r="Q151" i="2" l="1"/>
  <c r="R151" i="2" s="1"/>
  <c r="Q154" i="2"/>
  <c r="R154" i="2" s="1"/>
  <c r="Q155" i="2"/>
  <c r="R155" i="2" s="1"/>
  <c r="Q153" i="2"/>
  <c r="R153" i="2" s="1"/>
  <c r="Q149" i="2"/>
  <c r="R149" i="2" s="1"/>
  <c r="Q150" i="2"/>
  <c r="R150" i="2" s="1"/>
  <c r="Q152" i="2"/>
  <c r="R152" i="2" s="1"/>
  <c r="Q148" i="2"/>
  <c r="R148" i="2" s="1"/>
  <c r="P161" i="2"/>
  <c r="P160" i="2"/>
  <c r="P159" i="2"/>
  <c r="P158" i="2"/>
  <c r="P157" i="2"/>
  <c r="P156" i="2"/>
  <c r="G156" i="2"/>
  <c r="H156" i="2"/>
  <c r="F156" i="2"/>
  <c r="G157" i="2"/>
  <c r="H157" i="2"/>
  <c r="F157" i="2"/>
  <c r="G158" i="2"/>
  <c r="H158" i="2"/>
  <c r="F158" i="2"/>
  <c r="G159" i="2"/>
  <c r="H159" i="2"/>
  <c r="F159" i="2"/>
  <c r="G160" i="2"/>
  <c r="H160" i="2"/>
  <c r="F160" i="2"/>
  <c r="G161" i="2"/>
  <c r="H161" i="2"/>
  <c r="F161" i="2"/>
  <c r="O162" i="2"/>
  <c r="N162" i="2"/>
  <c r="K162" i="2"/>
  <c r="J162" i="2"/>
  <c r="D162" i="2"/>
  <c r="E162" i="2" s="1"/>
  <c r="C162" i="2"/>
  <c r="O163" i="2"/>
  <c r="N163" i="2"/>
  <c r="K163" i="2"/>
  <c r="J163" i="2"/>
  <c r="D163" i="2"/>
  <c r="E163" i="2" s="1"/>
  <c r="C163" i="2"/>
  <c r="O164" i="2"/>
  <c r="N164" i="2"/>
  <c r="K164" i="2"/>
  <c r="J164" i="2"/>
  <c r="D164" i="2"/>
  <c r="E164" i="2" s="1"/>
  <c r="C164" i="2"/>
  <c r="Q159" i="2" l="1"/>
  <c r="R159" i="2" s="1"/>
  <c r="Q158" i="2"/>
  <c r="R158" i="2" s="1"/>
  <c r="Q160" i="2"/>
  <c r="R160" i="2" s="1"/>
  <c r="Q156" i="2"/>
  <c r="R156" i="2" s="1"/>
  <c r="Q161" i="2"/>
  <c r="R161" i="2" s="1"/>
  <c r="Q157" i="2"/>
  <c r="R157" i="2" s="1"/>
  <c r="P162" i="2"/>
  <c r="G162" i="2"/>
  <c r="H162" i="2"/>
  <c r="F162" i="2"/>
  <c r="P163" i="2"/>
  <c r="G163" i="2"/>
  <c r="H163" i="2"/>
  <c r="F163" i="2"/>
  <c r="P164" i="2"/>
  <c r="G164" i="2"/>
  <c r="H164" i="2"/>
  <c r="F164" i="2"/>
  <c r="O165" i="2"/>
  <c r="N165" i="2"/>
  <c r="K165" i="2"/>
  <c r="J165" i="2"/>
  <c r="D165" i="2"/>
  <c r="E165" i="2" s="1"/>
  <c r="C165" i="2"/>
  <c r="O166" i="2"/>
  <c r="N166" i="2"/>
  <c r="K166" i="2"/>
  <c r="J166" i="2"/>
  <c r="D166" i="2"/>
  <c r="E166" i="2" s="1"/>
  <c r="C166" i="2"/>
  <c r="Q162" i="2" l="1"/>
  <c r="R162" i="2" s="1"/>
  <c r="Q163" i="2"/>
  <c r="R163" i="2" s="1"/>
  <c r="Q164" i="2"/>
  <c r="R164" i="2" s="1"/>
  <c r="P165" i="2"/>
  <c r="G165" i="2"/>
  <c r="H165" i="2"/>
  <c r="F165" i="2"/>
  <c r="P166" i="2"/>
  <c r="G166" i="2"/>
  <c r="H166" i="2"/>
  <c r="F166" i="2"/>
  <c r="Q165" i="2" l="1"/>
  <c r="R165" i="2" s="1"/>
  <c r="Q166" i="2"/>
  <c r="R166" i="2" s="1"/>
  <c r="E21" i="9" l="1"/>
  <c r="F21" i="9" s="1"/>
  <c r="E20" i="9"/>
  <c r="F20" i="9" s="1"/>
  <c r="E19" i="9"/>
  <c r="F19" i="9" s="1"/>
  <c r="E18" i="9"/>
  <c r="F18" i="9" s="1"/>
  <c r="E17" i="9"/>
  <c r="F17" i="9" s="1"/>
  <c r="E15" i="9"/>
  <c r="F15" i="9" s="1"/>
  <c r="E14" i="9"/>
  <c r="F14" i="9" s="1"/>
  <c r="E13" i="9"/>
  <c r="F13" i="9" s="1"/>
  <c r="E11" i="9"/>
  <c r="F11" i="9" s="1"/>
  <c r="E10" i="9"/>
  <c r="F10" i="9" s="1"/>
  <c r="E16" i="9" l="1"/>
  <c r="F16" i="9" s="1"/>
  <c r="E8" i="9"/>
  <c r="F8" i="9" s="1"/>
  <c r="E9" i="9"/>
  <c r="F9" i="9" s="1"/>
  <c r="E7" i="9"/>
  <c r="F7" i="9" s="1"/>
  <c r="E6" i="9"/>
  <c r="F6" i="9" s="1"/>
  <c r="D22" i="23" l="1"/>
  <c r="E20" i="23"/>
  <c r="E12" i="23"/>
  <c r="E18" i="23"/>
  <c r="E13" i="23"/>
  <c r="D4" i="23"/>
  <c r="D8" i="23"/>
  <c r="D6" i="23"/>
  <c r="E22" i="23" l="1"/>
  <c r="F22" i="23" s="1"/>
  <c r="G22" i="23" s="1"/>
  <c r="D10" i="23"/>
  <c r="D9" i="23"/>
  <c r="D5" i="23"/>
  <c r="E21" i="23"/>
  <c r="E17" i="23"/>
  <c r="E7" i="23"/>
  <c r="E11" i="23"/>
  <c r="E6" i="23"/>
  <c r="F6" i="23" s="1"/>
  <c r="G6" i="23" s="1"/>
  <c r="E23" i="23"/>
  <c r="E19" i="23"/>
  <c r="E9" i="23"/>
  <c r="E16" i="23"/>
  <c r="E15" i="23"/>
  <c r="E5" i="23"/>
  <c r="E8" i="23"/>
  <c r="F8" i="23" s="1"/>
  <c r="G8" i="23" s="1"/>
  <c r="E10" i="23"/>
  <c r="E4" i="23"/>
  <c r="F4" i="23" s="1"/>
  <c r="G4" i="23" s="1"/>
  <c r="E14" i="23"/>
  <c r="D11" i="23"/>
  <c r="D7" i="23"/>
  <c r="D23" i="23"/>
  <c r="D12" i="23"/>
  <c r="F12" i="23" s="1"/>
  <c r="G12" i="23" s="1"/>
  <c r="D21" i="23"/>
  <c r="D18" i="23"/>
  <c r="F18" i="23" s="1"/>
  <c r="G18" i="23" s="1"/>
  <c r="D19" i="23"/>
  <c r="D13" i="23"/>
  <c r="F13" i="23" s="1"/>
  <c r="G13" i="23" s="1"/>
  <c r="D16" i="23"/>
  <c r="D20" i="23"/>
  <c r="F20" i="23" s="1"/>
  <c r="G20" i="23" s="1"/>
  <c r="D17" i="23"/>
  <c r="D15" i="23"/>
  <c r="D14" i="23"/>
  <c r="F17" i="23" l="1"/>
  <c r="G17" i="23" s="1"/>
  <c r="F10" i="23"/>
  <c r="G10" i="23" s="1"/>
  <c r="F19" i="23"/>
  <c r="G19" i="23" s="1"/>
  <c r="F5" i="23"/>
  <c r="G5" i="23" s="1"/>
  <c r="F23" i="23"/>
  <c r="G23" i="23" s="1"/>
  <c r="F9" i="23"/>
  <c r="G9" i="23" s="1"/>
  <c r="F21" i="23"/>
  <c r="G21" i="23" s="1"/>
  <c r="F7" i="23"/>
  <c r="G7" i="23" s="1"/>
  <c r="F11" i="23"/>
  <c r="G11" i="23" s="1"/>
  <c r="F16" i="23"/>
  <c r="G16" i="23" s="1"/>
  <c r="F14" i="23"/>
  <c r="G14" i="23" s="1"/>
  <c r="F15" i="23"/>
  <c r="G15" i="23" s="1"/>
</calcChain>
</file>

<file path=xl/comments1.xml><?xml version="1.0" encoding="utf-8"?>
<comments xmlns="http://schemas.openxmlformats.org/spreadsheetml/2006/main">
  <authors>
    <author>Cristian Camilo CCOA. Orjuela Arce</author>
  </authors>
  <commentList>
    <comment ref="C6" authorId="0" shapeId="0">
      <text>
        <r>
          <rPr>
            <b/>
            <sz val="9"/>
            <color indexed="81"/>
            <rFont val="Tahoma"/>
            <family val="2"/>
          </rPr>
          <t xml:space="preserve">CCOA: 
</t>
        </r>
        <r>
          <rPr>
            <sz val="9"/>
            <color indexed="81"/>
            <rFont val="Tahoma"/>
            <family val="2"/>
          </rPr>
          <t>Registre primer nombre y primer apellido en letra mayúscula.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</rPr>
          <t xml:space="preserve"> CCOA:
</t>
        </r>
        <r>
          <rPr>
            <sz val="9"/>
            <color indexed="81"/>
            <rFont val="Tahoma"/>
            <family val="2"/>
          </rPr>
          <t xml:space="preserve">Registre la fecha en que realizo el proceso en formato dd/mm/aaaa
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 xml:space="preserve">CCOA:
</t>
        </r>
        <r>
          <rPr>
            <sz val="9"/>
            <color indexed="81"/>
            <rFont val="Tahoma"/>
            <family val="2"/>
          </rPr>
          <t>Registre la cantidad ejecutada en su jornada laboral.</t>
        </r>
      </text>
    </comment>
    <comment ref="C14" authorId="0" shapeId="0">
      <text>
        <r>
          <rPr>
            <b/>
            <sz val="9"/>
            <color indexed="81"/>
            <rFont val="Tahoma"/>
            <family val="2"/>
          </rPr>
          <t xml:space="preserve">COA: </t>
        </r>
        <r>
          <rPr>
            <sz val="9"/>
            <color indexed="81"/>
            <rFont val="Tahoma"/>
            <family val="2"/>
          </rPr>
          <t xml:space="preserve">Registrar el tiempo en que realizo la actividad en formato 12 horas </t>
        </r>
      </text>
    </comment>
  </commentList>
</comments>
</file>

<file path=xl/comments2.xml><?xml version="1.0" encoding="utf-8"?>
<comments xmlns="http://schemas.openxmlformats.org/spreadsheetml/2006/main">
  <authors>
    <author>Cristian Camilo CCOA. Orjuela Arce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 xml:space="preserve">Proyectos:
</t>
        </r>
        <r>
          <rPr>
            <sz val="9"/>
            <color indexed="81"/>
            <rFont val="Tahoma"/>
            <family val="2"/>
          </rPr>
          <t xml:space="preserve">Ingresar el nombre del funcionario que realiza la actividad.
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</rPr>
          <t xml:space="preserve">Proyectos:
</t>
        </r>
        <r>
          <rPr>
            <sz val="9"/>
            <color indexed="81"/>
            <rFont val="Tahoma"/>
            <family val="2"/>
          </rPr>
          <t>Registrar el codigo asignado por cada subproceso.</t>
        </r>
        <r>
          <rPr>
            <b/>
            <sz val="9"/>
            <color indexed="81"/>
            <rFont val="Tahoma"/>
            <family val="2"/>
          </rPr>
          <t>Ver tabla por proceso.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5" authorId="0" shapeId="0">
      <text>
        <r>
          <rPr>
            <b/>
            <sz val="9"/>
            <color indexed="81"/>
            <rFont val="Tahoma"/>
            <family val="2"/>
          </rPr>
          <t>Proyectos:</t>
        </r>
        <r>
          <rPr>
            <sz val="9"/>
            <color indexed="81"/>
            <rFont val="Tahoma"/>
            <family val="2"/>
          </rPr>
          <t xml:space="preserve">
Campo Automático 
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 xml:space="preserve">Proyectos:
</t>
        </r>
        <r>
          <rPr>
            <sz val="9"/>
            <color indexed="81"/>
            <rFont val="Tahoma"/>
            <family val="2"/>
          </rPr>
          <t xml:space="preserve">Campo Automático 
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 xml:space="preserve">Proyectos:
</t>
        </r>
        <r>
          <rPr>
            <sz val="9"/>
            <color indexed="81"/>
            <rFont val="Tahoma"/>
            <family val="2"/>
          </rPr>
          <t xml:space="preserve">Campo Automático 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5" authorId="0" shapeId="0">
      <text>
        <r>
          <rPr>
            <b/>
            <sz val="9"/>
            <color indexed="81"/>
            <rFont val="Tahoma"/>
            <family val="2"/>
          </rPr>
          <t xml:space="preserve">Proyectos:
Campo Automático 
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 xml:space="preserve">Proyectos:
</t>
        </r>
        <r>
          <rPr>
            <sz val="9"/>
            <color indexed="81"/>
            <rFont val="Tahoma"/>
            <family val="2"/>
          </rPr>
          <t>Campo Automático</t>
        </r>
        <r>
          <rPr>
            <b/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</rPr>
          <t xml:space="preserve">Proyectos:
</t>
        </r>
        <r>
          <rPr>
            <sz val="9"/>
            <color indexed="81"/>
            <rFont val="Tahoma"/>
            <family val="2"/>
          </rPr>
          <t xml:space="preserve">Campo Automático 
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 xml:space="preserve">Proyectos:
</t>
        </r>
        <r>
          <rPr>
            <sz val="9"/>
            <color indexed="81"/>
            <rFont val="Tahoma"/>
            <family val="2"/>
          </rPr>
          <t>Ingresar la fecha del día habil trabajado en formato DD/MM/AAAA.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</rPr>
          <t xml:space="preserve">Proyectos:
</t>
        </r>
        <r>
          <rPr>
            <sz val="9"/>
            <color indexed="81"/>
            <rFont val="Tahoma"/>
            <family val="2"/>
          </rPr>
          <t xml:space="preserve">Campo Automático 
</t>
        </r>
      </text>
    </comment>
    <comment ref="K5" authorId="0" shapeId="0">
      <text>
        <r>
          <rPr>
            <b/>
            <sz val="9"/>
            <color indexed="81"/>
            <rFont val="Tahoma"/>
            <family val="2"/>
          </rPr>
          <t xml:space="preserve">Proyectos:
</t>
        </r>
        <r>
          <rPr>
            <sz val="9"/>
            <color indexed="81"/>
            <rFont val="Tahoma"/>
            <family val="2"/>
          </rPr>
          <t xml:space="preserve">Campo Automático 
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 xml:space="preserve">Proyectos:
</t>
        </r>
        <r>
          <rPr>
            <sz val="9"/>
            <color indexed="81"/>
            <rFont val="Tahoma"/>
            <family val="2"/>
          </rPr>
          <t>Registrar la cantidad total producida por el funcionario.</t>
        </r>
        <r>
          <rPr>
            <b/>
            <sz val="9"/>
            <color indexed="81"/>
            <rFont val="Tahoma"/>
            <family val="2"/>
          </rPr>
          <t xml:space="preserve"> 
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Proyectos:</t>
        </r>
        <r>
          <rPr>
            <sz val="9"/>
            <color indexed="81"/>
            <rFont val="Tahoma"/>
            <family val="2"/>
          </rPr>
          <t xml:space="preserve">
Registrar las horas y minutos utilizados para realizar el subproceso.
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 xml:space="preserve">Proyectos:
</t>
        </r>
        <r>
          <rPr>
            <sz val="9"/>
            <color indexed="81"/>
            <rFont val="Tahoma"/>
            <family val="2"/>
          </rPr>
          <t>Campo Automático</t>
        </r>
        <r>
          <rPr>
            <b/>
            <sz val="9"/>
            <color indexed="81"/>
            <rFont val="Tahoma"/>
            <family val="2"/>
          </rPr>
          <t xml:space="preserve"> 
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 xml:space="preserve">Proyectos:
</t>
        </r>
        <r>
          <rPr>
            <sz val="9"/>
            <color indexed="81"/>
            <rFont val="Tahoma"/>
            <family val="2"/>
          </rPr>
          <t>Campo Automático</t>
        </r>
        <r>
          <rPr>
            <b/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5" authorId="0" shapeId="0">
      <text>
        <r>
          <rPr>
            <b/>
            <sz val="9"/>
            <color indexed="81"/>
            <rFont val="Tahoma"/>
            <family val="2"/>
          </rPr>
          <t xml:space="preserve">Proyectos:
</t>
        </r>
        <r>
          <rPr>
            <sz val="9"/>
            <color indexed="81"/>
            <rFont val="Tahoma"/>
            <family val="2"/>
          </rPr>
          <t>Campo Automático</t>
        </r>
        <r>
          <rPr>
            <b/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5" authorId="0" shapeId="0">
      <text>
        <r>
          <rPr>
            <b/>
            <sz val="9"/>
            <color indexed="81"/>
            <rFont val="Tahoma"/>
            <family val="2"/>
          </rPr>
          <t>Proyectos:</t>
        </r>
        <r>
          <rPr>
            <sz val="9"/>
            <color indexed="81"/>
            <rFont val="Tahoma"/>
            <family val="2"/>
          </rPr>
          <t xml:space="preserve">
Campo Automático 
</t>
        </r>
      </text>
    </comment>
    <comment ref="R5" authorId="0" shapeId="0">
      <text>
        <r>
          <rPr>
            <b/>
            <sz val="9"/>
            <color indexed="81"/>
            <rFont val="Tahoma"/>
            <family val="2"/>
          </rPr>
          <t xml:space="preserve">Proyectos:
</t>
        </r>
        <r>
          <rPr>
            <sz val="9"/>
            <color indexed="81"/>
            <rFont val="Tahoma"/>
            <family val="2"/>
          </rPr>
          <t xml:space="preserve">Campo Automático 
</t>
        </r>
      </text>
    </comment>
    <comment ref="S5" authorId="0" shapeId="0">
      <text>
        <r>
          <rPr>
            <b/>
            <sz val="9"/>
            <color indexed="81"/>
            <rFont val="Tahoma"/>
            <family val="2"/>
          </rPr>
          <t xml:space="preserve">Proyectos:
</t>
        </r>
        <r>
          <rPr>
            <sz val="9"/>
            <color indexed="81"/>
            <rFont val="Tahoma"/>
            <family val="2"/>
          </rPr>
          <t xml:space="preserve">Diligenciar cualquier comentario adicional o actividad que no este incluida dentro de los subprocesos.
</t>
        </r>
      </text>
    </comment>
  </commentList>
</comments>
</file>

<file path=xl/comments3.xml><?xml version="1.0" encoding="utf-8"?>
<comments xmlns="http://schemas.openxmlformats.org/spreadsheetml/2006/main">
  <authors>
    <author>Cristian Camilo CCOA. Orjuela Arce</author>
  </authors>
  <commentList>
    <comment ref="E2" authorId="0" shapeId="0">
      <text>
        <r>
          <rPr>
            <b/>
            <sz val="9"/>
            <color indexed="81"/>
            <rFont val="Tahoma"/>
            <family val="2"/>
          </rPr>
          <t xml:space="preserve">Proyectos: </t>
        </r>
        <r>
          <rPr>
            <sz val="9"/>
            <color indexed="81"/>
            <rFont val="Tahoma"/>
            <family val="2"/>
          </rPr>
          <t>Despliege la lista y seleccione el proyecto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Proyectos:</t>
        </r>
        <r>
          <rPr>
            <sz val="9"/>
            <color indexed="81"/>
            <rFont val="Tahoma"/>
            <family val="2"/>
          </rPr>
          <t xml:space="preserve">
Campo Automático 
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Proyectos:
</t>
        </r>
        <r>
          <rPr>
            <sz val="9"/>
            <color indexed="81"/>
            <rFont val="Tahoma"/>
            <family val="2"/>
          </rPr>
          <t>Registrar la cantidad total producida por el funcionario.</t>
        </r>
        <r>
          <rPr>
            <b/>
            <sz val="9"/>
            <color indexed="81"/>
            <rFont val="Tahoma"/>
            <family val="2"/>
          </rPr>
          <t xml:space="preserve"> 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Proyectos:</t>
        </r>
        <r>
          <rPr>
            <sz val="9"/>
            <color indexed="81"/>
            <rFont val="Tahoma"/>
            <family val="2"/>
          </rPr>
          <t xml:space="preserve">
Registrar la producción que debio realizar.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 xml:space="preserve">Proyectos:
</t>
        </r>
        <r>
          <rPr>
            <sz val="9"/>
            <color indexed="81"/>
            <rFont val="Tahoma"/>
            <family val="2"/>
          </rPr>
          <t xml:space="preserve">Campo Automático 
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</rPr>
          <t xml:space="preserve">Proyectos:
</t>
        </r>
        <r>
          <rPr>
            <sz val="9"/>
            <color indexed="81"/>
            <rFont val="Tahoma"/>
            <family val="2"/>
          </rPr>
          <t xml:space="preserve">Campo Automático 
</t>
        </r>
      </text>
    </comment>
  </commentList>
</comments>
</file>

<file path=xl/sharedStrings.xml><?xml version="1.0" encoding="utf-8"?>
<sst xmlns="http://schemas.openxmlformats.org/spreadsheetml/2006/main" count="234" uniqueCount="161">
  <si>
    <t>PROCESO</t>
  </si>
  <si>
    <t>FUNCIONARIO</t>
  </si>
  <si>
    <t>PRODUCCION DIARIA</t>
  </si>
  <si>
    <t>TIEMPO</t>
  </si>
  <si>
    <t>% Rendimiento Alcanzado</t>
  </si>
  <si>
    <t>Producción que Debió Alcanzar</t>
  </si>
  <si>
    <t>Horas</t>
  </si>
  <si>
    <t>Minutos</t>
  </si>
  <si>
    <t>Total Minutos</t>
  </si>
  <si>
    <t>Dia</t>
  </si>
  <si>
    <t>Cantidad</t>
  </si>
  <si>
    <t>Semana</t>
  </si>
  <si>
    <t>Fecha</t>
  </si>
  <si>
    <t>ORGANIZACIÓN</t>
  </si>
  <si>
    <t>PROCESO OPERATIVO</t>
  </si>
  <si>
    <t>CODIGO</t>
  </si>
  <si>
    <t>SUBPROCESO</t>
  </si>
  <si>
    <t>PROYECCIÓN*HORA</t>
  </si>
  <si>
    <t>PROYECCIÓN*MIN</t>
  </si>
  <si>
    <t>UNIDAD DE MEDIDA</t>
  </si>
  <si>
    <t>IMAGEN</t>
  </si>
  <si>
    <t>CONSULTAS CUSTODIA UA</t>
  </si>
  <si>
    <t>UNIDAD ARCHIVISTICA</t>
  </si>
  <si>
    <t>DEVOLUCIONES E INVOLUCRAR</t>
  </si>
  <si>
    <t>UNIDAD DOCUMENTAL</t>
  </si>
  <si>
    <t>BC1</t>
  </si>
  <si>
    <t xml:space="preserve">RECEPCIÓN </t>
  </si>
  <si>
    <t>UNIDAD ARCHIVÍSTICA</t>
  </si>
  <si>
    <t>BC2</t>
  </si>
  <si>
    <t>RECEPCIÓN CAMBIO DE UNIDAD Y CAJA</t>
  </si>
  <si>
    <t>BC3</t>
  </si>
  <si>
    <t>BC4</t>
  </si>
  <si>
    <t>AUTOMATIZACIÓN</t>
  </si>
  <si>
    <t>BC6</t>
  </si>
  <si>
    <t>PREPARACIÓN FISÍCA MICROFILMACIÓN</t>
  </si>
  <si>
    <t>BC7</t>
  </si>
  <si>
    <t>ORGANIZACIÓN H.L.</t>
  </si>
  <si>
    <t>BC8</t>
  </si>
  <si>
    <t>BC9</t>
  </si>
  <si>
    <t>AUTOMATIZACIÓN CHECK LIST</t>
  </si>
  <si>
    <t>BC10</t>
  </si>
  <si>
    <t xml:space="preserve">RECEPCIÓN Y AUTOMATIZACIÓN </t>
  </si>
  <si>
    <t>BC11</t>
  </si>
  <si>
    <t>MICROFILMACIÓN</t>
  </si>
  <si>
    <t>FOTOGRAMA</t>
  </si>
  <si>
    <t>BC12</t>
  </si>
  <si>
    <t>FOLIACIÓN H.L.</t>
  </si>
  <si>
    <t>FOLIO</t>
  </si>
  <si>
    <t>BC13</t>
  </si>
  <si>
    <t>BC14</t>
  </si>
  <si>
    <t>CANTIDAD_AM</t>
  </si>
  <si>
    <t xml:space="preserve">observaciones </t>
  </si>
  <si>
    <t>PROYECCIÓN*DIARIA</t>
  </si>
  <si>
    <t>GADIER Sistemas Profesionales de Información Ltda.</t>
  </si>
  <si>
    <r>
      <t xml:space="preserve">Proyecto: </t>
    </r>
    <r>
      <rPr>
        <sz val="11"/>
        <color theme="1"/>
        <rFont val="Arial"/>
        <family val="2"/>
      </rPr>
      <t>Área Técnica</t>
    </r>
  </si>
  <si>
    <r>
      <t xml:space="preserve">Proceso: </t>
    </r>
    <r>
      <rPr>
        <sz val="11"/>
        <color theme="1"/>
        <rFont val="Arial"/>
        <family val="2"/>
      </rPr>
      <t>Administrativo</t>
    </r>
  </si>
  <si>
    <t>PRODUCCIÓN POR HORA</t>
  </si>
  <si>
    <t>PRODUCCIÓN SR/MINUTO</t>
  </si>
  <si>
    <t>PRODUCCIÓN SEMANAL</t>
  </si>
  <si>
    <t>Producción Realizada</t>
  </si>
  <si>
    <t>% Rendimiento Faltante</t>
  </si>
  <si>
    <t>CONSULTAS CUSTODIA - (IMAGEN) HASTA 5 UNIDADES DOCUMENTALES</t>
  </si>
  <si>
    <t xml:space="preserve">CONSULTAS CUSTODIA - (IMAGEN) SUPERIORES 5 UNIDADES </t>
  </si>
  <si>
    <t>Nombre y Apellido:</t>
  </si>
  <si>
    <t>Codigo:</t>
  </si>
  <si>
    <t xml:space="preserve">Fecha: </t>
  </si>
  <si>
    <t>Tiempo:</t>
  </si>
  <si>
    <t xml:space="preserve">Cantidad procesada: </t>
  </si>
  <si>
    <t>Observaciones:</t>
  </si>
  <si>
    <t>BC13 FOLIO FISCAL SAP</t>
  </si>
  <si>
    <t>BC14 CONTROL DE CALIDAD FOLIO FISCAL SAP</t>
  </si>
  <si>
    <t xml:space="preserve">LG1 ENTREGA DE CORRESPONDENCIA </t>
  </si>
  <si>
    <t>LG2 SERVICIO DE FOTOCOPIAS</t>
  </si>
  <si>
    <t>LG3 DIGITALIZACIÓN (ESCANEO)</t>
  </si>
  <si>
    <t>LG4 CONSULTA ARCHIVO CENTRAL</t>
  </si>
  <si>
    <t>LG5 CONSULTA ARCHIVO INACTIVO</t>
  </si>
  <si>
    <t>LG6 DEVOLUCIONES E INVOLUCRAR</t>
  </si>
  <si>
    <t>LG7 RECOLECCIÓN E INVOLUCRAR FOLIOS (ROTULACIÓN DE CAJAS X-200)</t>
  </si>
  <si>
    <t xml:space="preserve">LG8 TRANSFERENCIA </t>
  </si>
  <si>
    <t>LG9 ELIMINACIÓN</t>
  </si>
  <si>
    <t>CO1 CONSULTA AGI IMAGEN</t>
  </si>
  <si>
    <t>CO2 CONSULTA AGI ORIGINAL</t>
  </si>
  <si>
    <t>CO3 CONSULTA AGI REMITIDO</t>
  </si>
  <si>
    <t>CO4 CONSULTA RECONSTRUCCIÓN CREDITO CORPAVI</t>
  </si>
  <si>
    <t>CO5 CONSULTAS PLANILLAS ISS</t>
  </si>
  <si>
    <t xml:space="preserve">CO6 RECEPCIÓN </t>
  </si>
  <si>
    <t xml:space="preserve">CO7 RECEPCIÓN GARANTIAS </t>
  </si>
  <si>
    <t xml:space="preserve">CO8 AUTOMATIZACIÓN </t>
  </si>
  <si>
    <t xml:space="preserve">CO9 AUTOMATIZACIÒN DE RECEPCIÓN FISICA </t>
  </si>
  <si>
    <t>CO10 ORGANIZACIÓN (APOYO AREAS)</t>
  </si>
  <si>
    <t>CO11 CORREO GENERAL</t>
  </si>
  <si>
    <t>CO12 CORREO ASIGNACIÓN AGI</t>
  </si>
  <si>
    <t>CO13 CORREO RESPUESTA AGI</t>
  </si>
  <si>
    <t xml:space="preserve">CO14 ARCHIVOS DEVUELTOS PARA REMITIR A BODEGAS
 (confirmación por correo al cliente recibido) </t>
  </si>
  <si>
    <t>CO15 DEVOLUCIONES E INVOLUCRAR</t>
  </si>
  <si>
    <t>CO16 INFORME PRODUCTIVIDAD - RECOLECCIÓN DATOS POR BODEGA</t>
  </si>
  <si>
    <t>CO17 AUTOMATIZACIÓN INFORME PRODUCTIVIDAD - RECOLECCION DATOS POR BODEGA</t>
  </si>
  <si>
    <t xml:space="preserve">CO18 AUTOMATIZACIÓN CONSOLIDADO INFORME PRODUCTIVIDAD - BODEGAS </t>
  </si>
  <si>
    <t xml:space="preserve">CO19 AUTOMATIZACIÓN CONSOLIDADO INFORME PRODUCTIVIDAD CONSULTAS - BODEGAS </t>
  </si>
  <si>
    <t>CO20 ORGANIZAR TRANSFERENCIA PARA RECEPCIONAR</t>
  </si>
  <si>
    <t xml:space="preserve">CO21 ORGANIZAR TRANSFERENCIA DATAFILE </t>
  </si>
  <si>
    <t>CO22 MANTENIMIENTO</t>
  </si>
  <si>
    <t>CO23 ELIMINACIÓN MASIVA</t>
  </si>
  <si>
    <t>CO23.1 ELIMINACIÓN CREDITO DE CONSUMO</t>
  </si>
  <si>
    <t>CO24 TRANSFER EXPEDIENTES CANCELADOS PUNTEO</t>
  </si>
  <si>
    <t>CO25 TRANSFER EXPEDIENTES CANCELADOS EXTRACCIÓN</t>
  </si>
  <si>
    <t>CO25.1 TRANSFER EXPEDIENTES CREDITO DE CONSUMO</t>
  </si>
  <si>
    <t>CO25.2 TRANSFER EXPEDIENTES  TARJETAS CREDITO</t>
  </si>
  <si>
    <t>CO26 MARCACIÓN PARA ELIMINACIÓN CON TRD Y/O TVD</t>
  </si>
  <si>
    <t>CO27 RECEPCIÓN ARCHIVO GENERAL</t>
  </si>
  <si>
    <t>CO28 REUBICACIÓN DE EXPEDIENTES</t>
  </si>
  <si>
    <t>CO29 VERIFICAR Y NUMERAR</t>
  </si>
  <si>
    <t>CO30 PUNTEO</t>
  </si>
  <si>
    <t xml:space="preserve">CO31 SELLADO </t>
  </si>
  <si>
    <t>CO32 INTERCALAR ANEXOS</t>
  </si>
  <si>
    <t>CO33 DESCOLGAR ANEXOS</t>
  </si>
  <si>
    <t xml:space="preserve">PROYECTO: </t>
  </si>
  <si>
    <t>BC15</t>
  </si>
  <si>
    <t>BC16</t>
  </si>
  <si>
    <t xml:space="preserve">BC16 DIGITALIZACIÓN HL </t>
  </si>
  <si>
    <t>CUSTODIA</t>
  </si>
  <si>
    <t xml:space="preserve">MANTENIMIENTO </t>
  </si>
  <si>
    <t>BC5</t>
  </si>
  <si>
    <t>BC17</t>
  </si>
  <si>
    <t>BC18</t>
  </si>
  <si>
    <t>BC19</t>
  </si>
  <si>
    <t>BC20</t>
  </si>
  <si>
    <t xml:space="preserve">BC1 CONSULTAS CUSTODIA - (IMAGEN) SUPERIORES 5 UNIDADES </t>
  </si>
  <si>
    <t>BC2 CONSULTAS CUSTODIA - (IMAGEN) HASTA 5 UNIDADES DOCUMENTALES</t>
  </si>
  <si>
    <t>BC3 CONSULTAS CUSTODIA UA</t>
  </si>
  <si>
    <t>BC4 DEVOLUCIONES E INVOLUCRAR</t>
  </si>
  <si>
    <t xml:space="preserve">BC5 RECEPCIÓN </t>
  </si>
  <si>
    <t>BC6 RECEPCIÓN CAMBIO DE UNIDAD Y CAJA</t>
  </si>
  <si>
    <t xml:space="preserve">BC7 RECEPCIÓN Y AUTOMATIZACIÓN </t>
  </si>
  <si>
    <t>BC8 ORGANIZACIÓN</t>
  </si>
  <si>
    <t>BC9 ORGANIZACIÓN H.L.</t>
  </si>
  <si>
    <t>BC10 AUTOMATIZACIÓN</t>
  </si>
  <si>
    <t>BC11 AUTOMATIZACIÓN CHECK LIST</t>
  </si>
  <si>
    <t>BC12 PREPARACIÓN FISÍCA MICROFILMACIÓN</t>
  </si>
  <si>
    <t>BC13 PREPARACIÓN FÍSICA HL</t>
  </si>
  <si>
    <t xml:space="preserve">BC14 INSERCIÓN FACTURAS </t>
  </si>
  <si>
    <t>BC15 INSERCIÓN DOCUMENTOS</t>
  </si>
  <si>
    <t xml:space="preserve">BC17 DIGITALIZACIÓN SIMPLE </t>
  </si>
  <si>
    <t>BC18 FOLIACIÓN H.L.</t>
  </si>
  <si>
    <t>BC19 MICROFILMACIÓN</t>
  </si>
  <si>
    <t xml:space="preserve">BC20 MANTENIMIENTO </t>
  </si>
  <si>
    <t>PREPARACIÓN FÍSICA HL</t>
  </si>
  <si>
    <t xml:space="preserve">INSERCIÓN FACTURAS </t>
  </si>
  <si>
    <t>INSERCIÓN DOCUMENTOS</t>
  </si>
  <si>
    <t xml:space="preserve">DIGITALIZACIÓN HL </t>
  </si>
  <si>
    <t xml:space="preserve">DIGITALIZACIÓN SIMPLE </t>
  </si>
  <si>
    <t>CAJA</t>
  </si>
  <si>
    <t>Versión : 0.3  oct 2023</t>
  </si>
  <si>
    <t>Codigo: DT-AT-13-FM-003</t>
  </si>
  <si>
    <t>Pagina: 3 de 4</t>
  </si>
  <si>
    <t>Fecha: 10/10/2023</t>
  </si>
  <si>
    <r>
      <t xml:space="preserve">Tipo de documento: </t>
    </r>
    <r>
      <rPr>
        <sz val="11"/>
        <color theme="1"/>
        <rFont val="Arial"/>
        <family val="2"/>
      </rPr>
      <t>Estadísticas de trabajo</t>
    </r>
  </si>
  <si>
    <t>CUSTODIA_COTA</t>
  </si>
  <si>
    <t>erew</t>
  </si>
  <si>
    <t>ewrwer</t>
  </si>
  <si>
    <t>rrdte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</si>
</sst>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-* #,##0.00_-;\-* #,##0.00_-;_-* &quot;-&quot;??_-;_-@_-"/>
    <numFmt numFmtId="164" formatCode="_-* #,##0.0_-;\-* #,##0.0_-;_-* &quot;-&quot;??_-;_-@_-"/>
    <numFmt numFmtId="165" formatCode="_-* #,##0_-;\-* #,##0_-;_-* &quot;-&quot;??_-;_-@_-"/>
    <numFmt numFmtId="166" formatCode="#,##0\ &quot;min&quot;"/>
    <numFmt numFmtId="167" formatCode="#,##0\ &quot;Sem.&quot;"/>
    <numFmt numFmtId="168" formatCode="#,##0\ "/>
    <numFmt numFmtId="169" formatCode="_ * #,##0.00_ ;_ * \-#,##0.00_ ;_ * &quot;-&quot;??_ ;_ @_ "/>
  </numFmts>
  <fonts count="16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sz val="8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sz val="10"/>
      <color rgb="FF000000"/>
      <name val="Calibri  "/>
    </font>
    <font>
      <sz val="10"/>
      <color theme="1"/>
      <name val="Calibri  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/>
    <xf numFmtId="0" fontId="1" fillId="0" borderId="0"/>
    <xf numFmtId="0" fontId="1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 applyNumberFormat="0" applyFill="0" applyBorder="0" applyAlignment="0" applyProtection="0"/>
    <xf numFmtId="169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7">
    <xf numFmtId="0" fontId="0" fillId="0" borderId="0" xfId="0"/>
    <xf numFmtId="0" fontId="4" fillId="0" borderId="0" xfId="1" applyFont="1"/>
    <xf numFmtId="0" fontId="3" fillId="0" borderId="0" xfId="1" applyFont="1" applyAlignment="1">
      <alignment horizontal="center"/>
    </xf>
    <xf numFmtId="0" fontId="4" fillId="0" borderId="0" xfId="1" applyFont="1" applyAlignment="1" applyProtection="1">
      <alignment horizontal="center"/>
      <protection hidden="1"/>
    </xf>
    <xf numFmtId="0" fontId="4" fillId="0" borderId="0" xfId="1" applyFont="1" applyProtection="1">
      <protection hidden="1"/>
    </xf>
    <xf numFmtId="0" fontId="4" fillId="0" borderId="1" xfId="1" applyFont="1" applyBorder="1" applyAlignment="1" applyProtection="1">
      <alignment horizontal="center"/>
      <protection hidden="1"/>
    </xf>
    <xf numFmtId="0" fontId="4" fillId="0" borderId="1" xfId="1" applyFont="1" applyBorder="1" applyAlignment="1">
      <alignment horizontal="left"/>
    </xf>
    <xf numFmtId="0" fontId="3" fillId="0" borderId="0" xfId="1" applyFont="1"/>
    <xf numFmtId="0" fontId="4" fillId="0" borderId="1" xfId="1" applyFont="1" applyBorder="1" applyAlignment="1"/>
    <xf numFmtId="0" fontId="3" fillId="2" borderId="1" xfId="1" applyFont="1" applyFill="1" applyBorder="1" applyAlignment="1">
      <alignment horizontal="center" vertical="center" wrapText="1"/>
    </xf>
    <xf numFmtId="0" fontId="3" fillId="2" borderId="1" xfId="1" applyFont="1" applyFill="1" applyBorder="1" applyAlignment="1">
      <alignment horizontal="center" vertical="center"/>
    </xf>
    <xf numFmtId="0" fontId="3" fillId="2" borderId="1" xfId="1" applyFont="1" applyFill="1" applyBorder="1" applyAlignment="1" applyProtection="1">
      <alignment horizontal="center" vertical="center" wrapText="1"/>
      <protection hidden="1"/>
    </xf>
    <xf numFmtId="0" fontId="0" fillId="0" borderId="0" xfId="0" applyBorder="1"/>
    <xf numFmtId="168" fontId="7" fillId="2" borderId="1" xfId="3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4" fillId="0" borderId="2" xfId="0" applyFont="1" applyBorder="1" applyProtection="1">
      <protection locked="0"/>
    </xf>
    <xf numFmtId="167" fontId="4" fillId="2" borderId="1" xfId="3" applyNumberFormat="1" applyFont="1" applyFill="1" applyBorder="1" applyAlignment="1">
      <alignment horizontal="center" vertical="center" wrapText="1"/>
    </xf>
    <xf numFmtId="0" fontId="4" fillId="2" borderId="2" xfId="0" applyFont="1" applyFill="1" applyBorder="1" applyAlignment="1" applyProtection="1">
      <alignment horizontal="center" vertical="center"/>
      <protection hidden="1"/>
    </xf>
    <xf numFmtId="0" fontId="4" fillId="2" borderId="1" xfId="0" applyFont="1" applyFill="1" applyBorder="1" applyProtection="1">
      <protection hidden="1"/>
    </xf>
    <xf numFmtId="0" fontId="3" fillId="4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  <xf numFmtId="0" fontId="0" fillId="0" borderId="1" xfId="0" applyBorder="1" applyProtection="1">
      <protection locked="0"/>
    </xf>
    <xf numFmtId="0" fontId="1" fillId="0" borderId="1" xfId="0" applyFont="1" applyBorder="1" applyProtection="1">
      <protection locked="0"/>
    </xf>
    <xf numFmtId="1" fontId="11" fillId="0" borderId="1" xfId="0" applyNumberFormat="1" applyFont="1" applyFill="1" applyBorder="1" applyAlignment="1">
      <alignment horizontal="center"/>
    </xf>
    <xf numFmtId="0" fontId="13" fillId="4" borderId="1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10" fontId="11" fillId="0" borderId="1" xfId="4" applyNumberFormat="1" applyFont="1" applyFill="1" applyBorder="1" applyAlignment="1">
      <alignment horizontal="center"/>
    </xf>
    <xf numFmtId="0" fontId="13" fillId="6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0" fontId="0" fillId="7" borderId="0" xfId="0" applyFill="1"/>
    <xf numFmtId="0" fontId="0" fillId="0" borderId="0" xfId="0" applyFill="1"/>
    <xf numFmtId="14" fontId="0" fillId="7" borderId="0" xfId="0" applyNumberFormat="1" applyFill="1"/>
    <xf numFmtId="0" fontId="3" fillId="0" borderId="1" xfId="1" applyFont="1" applyFill="1" applyBorder="1" applyAlignment="1">
      <alignment horizontal="center"/>
    </xf>
    <xf numFmtId="0" fontId="3" fillId="4" borderId="1" xfId="1" applyFont="1" applyFill="1" applyBorder="1" applyAlignment="1">
      <alignment horizontal="center" vertical="center" wrapText="1"/>
    </xf>
    <xf numFmtId="0" fontId="3" fillId="4" borderId="1" xfId="1" applyFont="1" applyFill="1" applyBorder="1" applyAlignment="1">
      <alignment horizontal="center" vertical="center"/>
    </xf>
    <xf numFmtId="0" fontId="1" fillId="0" borderId="0" xfId="0" applyFont="1" applyFill="1" applyBorder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1" fontId="11" fillId="0" borderId="0" xfId="0" applyNumberFormat="1" applyFont="1" applyFill="1" applyBorder="1" applyAlignment="1">
      <alignment horizontal="center"/>
    </xf>
    <xf numFmtId="10" fontId="11" fillId="0" borderId="0" xfId="4" applyNumberFormat="1" applyFont="1" applyFill="1" applyBorder="1" applyAlignment="1">
      <alignment horizontal="center"/>
    </xf>
    <xf numFmtId="20" fontId="0" fillId="0" borderId="0" xfId="0" applyNumberFormat="1"/>
    <xf numFmtId="20" fontId="0" fillId="7" borderId="0" xfId="0" applyNumberFormat="1" applyFill="1"/>
    <xf numFmtId="0" fontId="11" fillId="0" borderId="0" xfId="0" applyFont="1" applyBorder="1" applyAlignment="1" applyProtection="1">
      <alignment vertical="top"/>
      <protection locked="0"/>
    </xf>
    <xf numFmtId="0" fontId="0" fillId="0" borderId="0" xfId="0" applyFill="1" applyAlignment="1">
      <alignment horizontal="center" wrapText="1"/>
    </xf>
    <xf numFmtId="167" fontId="7" fillId="2" borderId="1" xfId="3" applyNumberFormat="1" applyFont="1" applyFill="1" applyBorder="1" applyAlignment="1">
      <alignment horizontal="left" vertical="center"/>
    </xf>
    <xf numFmtId="0" fontId="0" fillId="7" borderId="0" xfId="0" applyFont="1" applyFill="1" applyAlignment="1"/>
    <xf numFmtId="14" fontId="4" fillId="0" borderId="1" xfId="0" applyNumberFormat="1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 wrapText="1"/>
    </xf>
    <xf numFmtId="3" fontId="4" fillId="0" borderId="1" xfId="0" applyNumberFormat="1" applyFont="1" applyFill="1" applyBorder="1" applyAlignment="1">
      <alignment horizontal="center" vertical="center" wrapText="1"/>
    </xf>
    <xf numFmtId="20" fontId="4" fillId="0" borderId="1" xfId="0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left" vertical="center"/>
    </xf>
    <xf numFmtId="164" fontId="7" fillId="2" borderId="1" xfId="3" applyNumberFormat="1" applyFont="1" applyFill="1" applyBorder="1" applyAlignment="1">
      <alignment horizontal="center" vertical="center" wrapText="1"/>
    </xf>
    <xf numFmtId="166" fontId="7" fillId="2" borderId="1" xfId="2" applyNumberFormat="1" applyFont="1" applyFill="1" applyBorder="1" applyAlignment="1">
      <alignment horizontal="center" vertical="center" wrapText="1"/>
    </xf>
    <xf numFmtId="165" fontId="7" fillId="2" borderId="1" xfId="3" applyNumberFormat="1" applyFont="1" applyFill="1" applyBorder="1" applyAlignment="1">
      <alignment horizontal="center" vertical="center" wrapText="1"/>
    </xf>
    <xf numFmtId="3" fontId="0" fillId="7" borderId="0" xfId="0" applyNumberFormat="1" applyFill="1"/>
    <xf numFmtId="0" fontId="3" fillId="0" borderId="1" xfId="1" applyFont="1" applyBorder="1" applyAlignment="1">
      <alignment horizontal="center"/>
    </xf>
    <xf numFmtId="0" fontId="15" fillId="0" borderId="0" xfId="0" applyFont="1"/>
    <xf numFmtId="0" fontId="14" fillId="0" borderId="0" xfId="0" applyFont="1" applyFill="1" applyBorder="1" applyAlignment="1">
      <alignment vertical="center"/>
    </xf>
    <xf numFmtId="9" fontId="7" fillId="2" borderId="1" xfId="4" applyFont="1" applyFill="1" applyBorder="1" applyAlignment="1">
      <alignment horizontal="center" vertical="center" wrapText="1"/>
    </xf>
    <xf numFmtId="0" fontId="0" fillId="0" borderId="0" xfId="0"/>
    <xf numFmtId="0" fontId="3" fillId="0" borderId="0" xfId="1" applyFont="1" applyFill="1" applyBorder="1" applyAlignment="1">
      <alignment horizontal="center"/>
    </xf>
    <xf numFmtId="0" fontId="4" fillId="0" borderId="0" xfId="1" applyFont="1" applyBorder="1"/>
    <xf numFmtId="0" fontId="4" fillId="0" borderId="0" xfId="1" applyFont="1" applyBorder="1" applyAlignment="1">
      <alignment wrapText="1"/>
    </xf>
    <xf numFmtId="0" fontId="4" fillId="0" borderId="0" xfId="1" applyFont="1" applyBorder="1" applyAlignment="1">
      <alignment vertical="center"/>
    </xf>
    <xf numFmtId="0" fontId="4" fillId="0" borderId="0" xfId="1" applyFont="1" applyBorder="1" applyAlignment="1">
      <alignment horizontal="left" wrapText="1"/>
    </xf>
    <xf numFmtId="0" fontId="3" fillId="4" borderId="0" xfId="1" applyFont="1" applyFill="1" applyBorder="1" applyAlignment="1">
      <alignment horizontal="center" vertical="center" wrapText="1"/>
    </xf>
    <xf numFmtId="0" fontId="3" fillId="0" borderId="0" xfId="1" applyFont="1" applyBorder="1" applyAlignment="1">
      <alignment horizontal="center" vertical="center"/>
    </xf>
    <xf numFmtId="0" fontId="4" fillId="0" borderId="0" xfId="1" applyFont="1" applyBorder="1" applyAlignment="1">
      <alignment horizontal="left" vertical="top" wrapText="1"/>
    </xf>
    <xf numFmtId="0" fontId="4" fillId="0" borderId="0" xfId="1" applyFont="1" applyBorder="1" applyAlignment="1">
      <alignment horizontal="left"/>
    </xf>
    <xf numFmtId="0" fontId="3" fillId="0" borderId="0" xfId="1" applyFont="1" applyBorder="1" applyAlignment="1">
      <alignment horizontal="center"/>
    </xf>
    <xf numFmtId="0" fontId="3" fillId="0" borderId="6" xfId="1" applyFont="1" applyFill="1" applyBorder="1" applyAlignment="1">
      <alignment horizontal="center"/>
    </xf>
    <xf numFmtId="0" fontId="4" fillId="0" borderId="1" xfId="1" applyFont="1" applyBorder="1" applyAlignment="1">
      <alignment horizontal="center"/>
    </xf>
    <xf numFmtId="0" fontId="3" fillId="0" borderId="0" xfId="1" applyFont="1" applyBorder="1" applyAlignment="1">
      <alignment vertical="center"/>
    </xf>
    <xf numFmtId="0" fontId="3" fillId="0" borderId="0" xfId="1" applyFont="1" applyFill="1" applyBorder="1" applyAlignment="1">
      <alignment horizontal="center" vertical="center"/>
    </xf>
    <xf numFmtId="0" fontId="4" fillId="0" borderId="0" xfId="1" applyFont="1" applyFill="1" applyBorder="1" applyAlignment="1">
      <alignment horizontal="left"/>
    </xf>
    <xf numFmtId="0" fontId="3" fillId="0" borderId="8" xfId="1" applyFont="1" applyBorder="1" applyAlignment="1">
      <alignment vertical="center"/>
    </xf>
    <xf numFmtId="0" fontId="3" fillId="0" borderId="8" xfId="1" applyFont="1" applyFill="1" applyBorder="1" applyAlignment="1">
      <alignment horizontal="center" vertical="center"/>
    </xf>
    <xf numFmtId="0" fontId="4" fillId="0" borderId="8" xfId="1" applyFont="1" applyBorder="1" applyAlignment="1">
      <alignment horizontal="left"/>
    </xf>
    <xf numFmtId="0" fontId="3" fillId="0" borderId="1" xfId="1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/>
    </xf>
    <xf numFmtId="0" fontId="6" fillId="0" borderId="1" xfId="0" applyFont="1" applyBorder="1" applyAlignment="1">
      <alignment horizontal="left"/>
    </xf>
    <xf numFmtId="0" fontId="3" fillId="0" borderId="1" xfId="5" applyFont="1" applyBorder="1" applyAlignment="1">
      <alignment horizontal="left"/>
    </xf>
    <xf numFmtId="0" fontId="3" fillId="0" borderId="1" xfId="5" applyFont="1" applyBorder="1" applyAlignment="1">
      <alignment horizontal="left" vertical="center" wrapText="1"/>
    </xf>
    <xf numFmtId="0" fontId="3" fillId="0" borderId="0" xfId="1" applyFont="1" applyBorder="1" applyAlignment="1">
      <alignment horizontal="center" vertical="center" wrapText="1"/>
    </xf>
    <xf numFmtId="0" fontId="3" fillId="0" borderId="0" xfId="1" applyFont="1" applyBorder="1" applyAlignment="1">
      <alignment horizontal="center" vertical="center"/>
    </xf>
    <xf numFmtId="0" fontId="3" fillId="0" borderId="7" xfId="1" applyFont="1" applyBorder="1" applyAlignment="1">
      <alignment horizontal="center" vertical="center"/>
    </xf>
    <xf numFmtId="0" fontId="3" fillId="0" borderId="6" xfId="1" applyFont="1" applyBorder="1" applyAlignment="1">
      <alignment horizontal="center" vertical="center"/>
    </xf>
    <xf numFmtId="0" fontId="3" fillId="0" borderId="2" xfId="1" applyFont="1" applyBorder="1" applyAlignment="1">
      <alignment horizontal="center" vertical="center"/>
    </xf>
    <xf numFmtId="0" fontId="8" fillId="0" borderId="1" xfId="0" applyFont="1" applyBorder="1" applyAlignment="1">
      <alignment horizontal="center"/>
    </xf>
    <xf numFmtId="0" fontId="1" fillId="0" borderId="5" xfId="0" applyFont="1" applyFill="1" applyBorder="1" applyAlignment="1" applyProtection="1">
      <alignment horizontal="center"/>
      <protection hidden="1"/>
    </xf>
    <xf numFmtId="0" fontId="1" fillId="0" borderId="4" xfId="0" applyFont="1" applyFill="1" applyBorder="1" applyAlignment="1" applyProtection="1">
      <alignment horizontal="center"/>
      <protection hidden="1"/>
    </xf>
    <xf numFmtId="0" fontId="12" fillId="5" borderId="5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12" fillId="5" borderId="4" xfId="0" applyFont="1" applyFill="1" applyBorder="1" applyAlignment="1">
      <alignment horizontal="center" vertical="center" wrapText="1"/>
    </xf>
    <xf numFmtId="3" fontId="3" fillId="0" borderId="1" xfId="1" applyNumberFormat="1" applyFont="1" applyBorder="1" applyAlignment="1">
      <alignment horizontal="center"/>
    </xf>
    <xf numFmtId="3" fontId="4" fillId="0" borderId="1" xfId="0" applyNumberFormat="1" applyFont="1" applyFill="1" applyBorder="1" applyAlignment="1">
      <alignment horizontal="left" vertical="center"/>
    </xf>
  </cellXfs>
  <cellStyles count="8">
    <cellStyle name="Millares" xfId="3" builtinId="3"/>
    <cellStyle name="Millares 2" xfId="6"/>
    <cellStyle name="Normal" xfId="0" builtinId="0"/>
    <cellStyle name="Normal 2" xfId="1"/>
    <cellStyle name="Normal 2 2" xfId="2"/>
    <cellStyle name="Normal_Proceso de organización 2" xfId="5"/>
    <cellStyle name="Porcentaje" xfId="4" builtinId="5"/>
    <cellStyle name="Porcentaje 2" xfId="7"/>
  </cellStyles>
  <dxfs count="492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F7697D"/>
      <color rgb="FFB889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0E2-4C29-B2A6-154A8EAC6196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0E2-4C29-B2A6-154A8EAC6196}"/>
              </c:ext>
            </c:extLst>
          </c:dPt>
          <c:val>
            <c:numRef>
              <c:f>Resumen!$D$4:$E$4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0E2-4C29-B2A6-154A8EAC6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504-49EC-A839-5BD67942FE9C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504-49EC-A839-5BD67942FE9C}"/>
              </c:ext>
            </c:extLst>
          </c:dPt>
          <c:val>
            <c:numRef>
              <c:f>Resumen!$D$5:$E$5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504-49EC-A839-5BD67942F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D1E-42AB-BD1E-5A0543BBA550}"/>
              </c:ext>
            </c:extLst>
          </c:dPt>
          <c:dPt>
            <c:idx val="1"/>
            <c:bubble3D val="0"/>
            <c:spPr>
              <a:solidFill>
                <a:schemeClr val="bg1">
                  <a:lumMod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D1E-42AB-BD1E-5A0543BBA550}"/>
              </c:ext>
            </c:extLst>
          </c:dPt>
          <c:val>
            <c:numRef>
              <c:f>Resumen!$D$6:$E$6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1E-42AB-BD1E-5A0543BBA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D9D-4C64-A53F-3C207D6C4D38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D9D-4C64-A53F-3C207D6C4D38}"/>
              </c:ext>
            </c:extLst>
          </c:dPt>
          <c:val>
            <c:numRef>
              <c:f>Resumen!$D$7:$E$7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D9D-4C64-A53F-3C207D6C4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889D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864-4151-A55F-273D4D88A13B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864-4151-A55F-273D4D88A13B}"/>
              </c:ext>
            </c:extLst>
          </c:dPt>
          <c:val>
            <c:numRef>
              <c:f>Resumen!$D$8:$E$8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64-4151-A55F-273D4D88A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932-44C8-8CB7-6C32636A5737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932-44C8-8CB7-6C32636A5737}"/>
              </c:ext>
            </c:extLst>
          </c:dPt>
          <c:val>
            <c:numRef>
              <c:f>Resumen!$D$9:$E$9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32-44C8-8CB7-6C32636A5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7697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1A2-408E-968D-9BB1B9FE8FCE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1A2-408E-968D-9BB1B9FE8FCE}"/>
              </c:ext>
            </c:extLst>
          </c:dPt>
          <c:val>
            <c:numRef>
              <c:f>Resumen!$D$10:$E$10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1A2-408E-968D-9BB1B9FE8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1A2-408E-968D-9BB1B9FE8FCE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1A2-408E-968D-9BB1B9FE8FCE}"/>
              </c:ext>
            </c:extLst>
          </c:dPt>
          <c:val>
            <c:numRef>
              <c:f>Resumen!$D$11:$E$11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1A2-408E-968D-9BB1B9FE8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1A2-408E-968D-9BB1B9FE8FCE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1A2-408E-968D-9BB1B9FE8FCE}"/>
              </c:ext>
            </c:extLst>
          </c:dPt>
          <c:val>
            <c:numRef>
              <c:f>Resumen!$D$12:$E$12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1A2-408E-968D-9BB1B9FE8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1A2-408E-968D-9BB1B9FE8FCE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1A2-408E-968D-9BB1B9FE8FCE}"/>
              </c:ext>
            </c:extLst>
          </c:dPt>
          <c:val>
            <c:numRef>
              <c:f>Resumen!$D$13:$E$13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1A2-408E-968D-9BB1B9FE8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bg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1A2-408E-968D-9BB1B9FE8FCE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1A2-408E-968D-9BB1B9FE8FCE}"/>
              </c:ext>
            </c:extLst>
          </c:dPt>
          <c:val>
            <c:numRef>
              <c:f>Resumen!$D$14:$E$14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1A2-408E-968D-9BB1B9FE8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1A2-408E-968D-9BB1B9FE8FCE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1A2-408E-968D-9BB1B9FE8FCE}"/>
              </c:ext>
            </c:extLst>
          </c:dPt>
          <c:val>
            <c:numRef>
              <c:f>Resumen!$D$15:$E$15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1A2-408E-968D-9BB1B9FE8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1A2-408E-968D-9BB1B9FE8FCE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1A2-408E-968D-9BB1B9FE8FCE}"/>
              </c:ext>
            </c:extLst>
          </c:dPt>
          <c:val>
            <c:numRef>
              <c:f>Resumen!$D$16:$E$16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1A2-408E-968D-9BB1B9FE8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1A2-408E-968D-9BB1B9FE8FCE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1A2-408E-968D-9BB1B9FE8FCE}"/>
              </c:ext>
            </c:extLst>
          </c:dPt>
          <c:val>
            <c:numRef>
              <c:f>Resumen!$D$17:$E$17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1A2-408E-968D-9BB1B9FE8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7697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1A2-408E-968D-9BB1B9FE8FCE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1A2-408E-968D-9BB1B9FE8FCE}"/>
              </c:ext>
            </c:extLst>
          </c:dPt>
          <c:val>
            <c:numRef>
              <c:f>Resumen!$D$18:$E$18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1A2-408E-968D-9BB1B9FE8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1A2-408E-968D-9BB1B9FE8FCE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1A2-408E-968D-9BB1B9FE8FCE}"/>
              </c:ext>
            </c:extLst>
          </c:dPt>
          <c:val>
            <c:numRef>
              <c:f>Resumen!$D$19:$E$19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1A2-408E-968D-9BB1B9FE8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1A2-408E-968D-9BB1B9FE8FCE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1A2-408E-968D-9BB1B9FE8FCE}"/>
              </c:ext>
            </c:extLst>
          </c:dPt>
          <c:val>
            <c:numRef>
              <c:f>Resumen!$D$20:$E$20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1A2-408E-968D-9BB1B9FE8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1A2-408E-968D-9BB1B9FE8FCE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1A2-408E-968D-9BB1B9FE8FCE}"/>
              </c:ext>
            </c:extLst>
          </c:dPt>
          <c:val>
            <c:numRef>
              <c:f>Resumen!$D$21:$E$21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1A2-408E-968D-9BB1B9FE8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bg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1A2-408E-968D-9BB1B9FE8FCE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1A2-408E-968D-9BB1B9FE8FCE}"/>
              </c:ext>
            </c:extLst>
          </c:dPt>
          <c:val>
            <c:numRef>
              <c:f>Resumen!$D$22:$E$22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1A2-408E-968D-9BB1B9FE8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7697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1A2-408E-968D-9BB1B9FE8FCE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1A2-408E-968D-9BB1B9FE8FCE}"/>
              </c:ext>
            </c:extLst>
          </c:dPt>
          <c:val>
            <c:numRef>
              <c:f>Resumen!$D$23:$E$23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1A2-408E-968D-9BB1B9FE8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pixabay.com/es/documento-escrito-signo-s%C3%ADmbolo-27655/" TargetMode="External"/><Relationship Id="rId1" Type="http://schemas.openxmlformats.org/officeDocument/2006/relationships/image" Target="../media/image2.png"/><Relationship Id="rId6" Type="http://schemas.openxmlformats.org/officeDocument/2006/relationships/hyperlink" Target="https://pixabay.com/es/borrador-goma-gris-deshacer-307517/" TargetMode="External"/><Relationship Id="rId5" Type="http://schemas.openxmlformats.org/officeDocument/2006/relationships/image" Target="../media/image4.png"/><Relationship Id="rId4" Type="http://schemas.openxmlformats.org/officeDocument/2006/relationships/hyperlink" Target="https://pixabay.com/es/disquete-guardar-exportaci%C3%B3n-flecha-27224/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500764</xdr:colOff>
      <xdr:row>0</xdr:row>
      <xdr:rowOff>74240</xdr:rowOff>
    </xdr:from>
    <xdr:to>
      <xdr:col>0</xdr:col>
      <xdr:colOff>1855275</xdr:colOff>
      <xdr:row>2</xdr:row>
      <xdr:rowOff>166689</xdr:rowOff>
    </xdr:to>
    <xdr:grpSp>
      <xdr:nvGrpSpPr>
        <xdr:cNvPr id="5" name="Group 2202">
          <a:extLst>
            <a:ext uri="{FF2B5EF4-FFF2-40B4-BE49-F238E27FC236}">
              <a16:creationId xmlns:a16="http://schemas.microsoft.com/office/drawing/2014/main" id="{DDFB3F7A-6A0F-4D13-A668-807E95917008}"/>
            </a:ext>
          </a:extLst>
        </xdr:cNvPr>
        <xdr:cNvGrpSpPr>
          <a:grpSpLocks/>
        </xdr:cNvGrpSpPr>
      </xdr:nvGrpSpPr>
      <xdr:grpSpPr bwMode="auto">
        <a:xfrm>
          <a:off x="500764" y="74240"/>
          <a:ext cx="1354511" cy="473449"/>
          <a:chOff x="80" y="35"/>
          <a:chExt cx="114" cy="40"/>
        </a:xfrm>
      </xdr:grpSpPr>
      <xdr:sp macro="" textlink="">
        <xdr:nvSpPr>
          <xdr:cNvPr id="6" name="Oval 2">
            <a:extLst>
              <a:ext uri="{FF2B5EF4-FFF2-40B4-BE49-F238E27FC236}">
                <a16:creationId xmlns:a16="http://schemas.microsoft.com/office/drawing/2014/main" id="{5E6F0F22-C5AF-45E5-86D4-6B0C5F66EE8D}"/>
              </a:ext>
            </a:extLst>
          </xdr:cNvPr>
          <xdr:cNvSpPr>
            <a:spLocks noChangeArrowheads="1"/>
          </xdr:cNvSpPr>
        </xdr:nvSpPr>
        <xdr:spPr bwMode="auto">
          <a:xfrm rot="3964086">
            <a:off x="116" y="-1"/>
            <a:ext cx="40" cy="112"/>
          </a:xfrm>
          <a:prstGeom prst="ellips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pic>
        <xdr:nvPicPr>
          <xdr:cNvPr id="7" name="Picture 3" descr="LOGOTIPO">
            <a:extLst>
              <a:ext uri="{FF2B5EF4-FFF2-40B4-BE49-F238E27FC236}">
                <a16:creationId xmlns:a16="http://schemas.microsoft.com/office/drawing/2014/main" id="{3AD9D8D0-5829-4163-92AD-AAFE26ABB12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312"/>
          <a:stretch>
            <a:fillRect/>
          </a:stretch>
        </xdr:blipFill>
        <xdr:spPr bwMode="auto">
          <a:xfrm>
            <a:off x="80" y="41"/>
            <a:ext cx="114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184668</xdr:colOff>
      <xdr:row>3</xdr:row>
      <xdr:rowOff>173690</xdr:rowOff>
    </xdr:from>
    <xdr:to>
      <xdr:col>6</xdr:col>
      <xdr:colOff>573444</xdr:colOff>
      <xdr:row>17</xdr:row>
      <xdr:rowOff>134470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78791DC1-BC89-48DF-8241-D618C408A217}"/>
            </a:ext>
          </a:extLst>
        </xdr:cNvPr>
        <xdr:cNvSpPr/>
      </xdr:nvSpPr>
      <xdr:spPr>
        <a:xfrm>
          <a:off x="184668" y="960960"/>
          <a:ext cx="4937449" cy="2682209"/>
        </a:xfrm>
        <a:prstGeom prst="roundRect">
          <a:avLst>
            <a:gd name="adj" fmla="val 10697"/>
          </a:avLst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156430</xdr:colOff>
      <xdr:row>1</xdr:row>
      <xdr:rowOff>100854</xdr:rowOff>
    </xdr:from>
    <xdr:to>
      <xdr:col>6</xdr:col>
      <xdr:colOff>583166</xdr:colOff>
      <xdr:row>3</xdr:row>
      <xdr:rowOff>5444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DE3EF972-6AC9-4FC9-9C0F-3E1B70C364CB}"/>
            </a:ext>
          </a:extLst>
        </xdr:cNvPr>
        <xdr:cNvSpPr/>
      </xdr:nvSpPr>
      <xdr:spPr>
        <a:xfrm>
          <a:off x="156430" y="295242"/>
          <a:ext cx="4975409" cy="497472"/>
        </a:xfrm>
        <a:prstGeom prst="roundRect">
          <a:avLst>
            <a:gd name="adj" fmla="val 50000"/>
          </a:avLst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>
              <a:solidFill>
                <a:schemeClr val="tx1"/>
              </a:solidFill>
            </a:rPr>
            <a:t>Registro</a:t>
          </a:r>
          <a:r>
            <a:rPr lang="es-ES" sz="1600" baseline="0">
              <a:solidFill>
                <a:schemeClr val="tx1"/>
              </a:solidFill>
            </a:rPr>
            <a:t> de la estadistica realizada</a:t>
          </a:r>
          <a:endParaRPr lang="es-ES" sz="16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77823</xdr:colOff>
      <xdr:row>19</xdr:row>
      <xdr:rowOff>85664</xdr:rowOff>
    </xdr:from>
    <xdr:to>
      <xdr:col>2</xdr:col>
      <xdr:colOff>478530</xdr:colOff>
      <xdr:row>22</xdr:row>
      <xdr:rowOff>174949</xdr:rowOff>
    </xdr:to>
    <xdr:grpSp>
      <xdr:nvGrpSpPr>
        <xdr:cNvPr id="19" name="Grupo 18">
          <a:extLst>
            <a:ext uri="{FF2B5EF4-FFF2-40B4-BE49-F238E27FC236}">
              <a16:creationId xmlns:a16="http://schemas.microsoft.com/office/drawing/2014/main" id="{AED7474C-4A51-48EF-A876-18099747736C}"/>
            </a:ext>
          </a:extLst>
        </xdr:cNvPr>
        <xdr:cNvGrpSpPr/>
      </xdr:nvGrpSpPr>
      <xdr:grpSpPr>
        <a:xfrm>
          <a:off x="835935" y="3983138"/>
          <a:ext cx="1158819" cy="672449"/>
          <a:chOff x="1001165" y="4187246"/>
          <a:chExt cx="1158819" cy="672448"/>
        </a:xfrm>
      </xdr:grpSpPr>
      <xdr:sp macro="[0]!Limpiar" textlink="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3D7C1947-A6E9-4C76-AA48-BF5DF2FADEA8}"/>
              </a:ext>
            </a:extLst>
          </xdr:cNvPr>
          <xdr:cNvSpPr/>
        </xdr:nvSpPr>
        <xdr:spPr>
          <a:xfrm>
            <a:off x="1001165" y="4187246"/>
            <a:ext cx="1158819" cy="672448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s-ES" sz="1100"/>
              <a:t>Limpiar </a:t>
            </a:r>
          </a:p>
        </xdr:txBody>
      </xdr:sp>
      <xdr:pic macro="[0]!Limpiar">
        <xdr:nvPicPr>
          <xdr:cNvPr id="18" name="Imagen 17">
            <a:extLst>
              <a:ext uri="{FF2B5EF4-FFF2-40B4-BE49-F238E27FC236}">
                <a16:creationId xmlns:a16="http://schemas.microsoft.com/office/drawing/2014/main" id="{B617C7C3-63C3-425D-9490-C50C0E6424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xmlns="" r:id="rId2"/>
              </a:ext>
            </a:extLst>
          </a:blip>
          <a:stretch>
            <a:fillRect/>
          </a:stretch>
        </xdr:blipFill>
        <xdr:spPr>
          <a:xfrm>
            <a:off x="1370433" y="4258241"/>
            <a:ext cx="358225" cy="364297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362378</xdr:colOff>
      <xdr:row>19</xdr:row>
      <xdr:rowOff>91442</xdr:rowOff>
    </xdr:from>
    <xdr:to>
      <xdr:col>6</xdr:col>
      <xdr:colOff>1085</xdr:colOff>
      <xdr:row>22</xdr:row>
      <xdr:rowOff>176839</xdr:rowOff>
    </xdr:to>
    <xdr:grpSp>
      <xdr:nvGrpSpPr>
        <xdr:cNvPr id="22" name="Grupo 21">
          <a:extLst>
            <a:ext uri="{FF2B5EF4-FFF2-40B4-BE49-F238E27FC236}">
              <a16:creationId xmlns:a16="http://schemas.microsoft.com/office/drawing/2014/main" id="{BC241CCE-7226-44FC-8F22-AC9B6B3B66CA}"/>
            </a:ext>
          </a:extLst>
        </xdr:cNvPr>
        <xdr:cNvGrpSpPr/>
      </xdr:nvGrpSpPr>
      <xdr:grpSpPr>
        <a:xfrm>
          <a:off x="3394827" y="3988916"/>
          <a:ext cx="1154931" cy="668561"/>
          <a:chOff x="3521179" y="4183304"/>
          <a:chExt cx="1154931" cy="668560"/>
        </a:xfrm>
      </xdr:grpSpPr>
      <xdr:sp macro="[0]!Grabar" textlink="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5CC35252-D5C2-4D80-AE6A-5407B6B4336F}"/>
              </a:ext>
            </a:extLst>
          </xdr:cNvPr>
          <xdr:cNvSpPr/>
        </xdr:nvSpPr>
        <xdr:spPr>
          <a:xfrm>
            <a:off x="3521179" y="4183304"/>
            <a:ext cx="1154931" cy="66856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s-ES" sz="1100"/>
              <a:t>Guardar</a:t>
            </a:r>
          </a:p>
        </xdr:txBody>
      </xdr:sp>
      <xdr:pic macro="[0]!Grabar">
        <xdr:nvPicPr>
          <xdr:cNvPr id="21" name="Imagen 20">
            <a:extLst>
              <a:ext uri="{FF2B5EF4-FFF2-40B4-BE49-F238E27FC236}">
                <a16:creationId xmlns:a16="http://schemas.microsoft.com/office/drawing/2014/main" id="{9A8E0EDC-77D4-46FE-B3E8-3814BB8E2F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xmlns="" r:id="rId4"/>
              </a:ext>
            </a:extLst>
          </a:blip>
          <a:stretch>
            <a:fillRect/>
          </a:stretch>
        </xdr:blipFill>
        <xdr:spPr>
          <a:xfrm>
            <a:off x="3950447" y="4212158"/>
            <a:ext cx="384400" cy="381224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604387</xdr:colOff>
      <xdr:row>19</xdr:row>
      <xdr:rowOff>83827</xdr:rowOff>
    </xdr:from>
    <xdr:to>
      <xdr:col>4</xdr:col>
      <xdr:colOff>243094</xdr:colOff>
      <xdr:row>22</xdr:row>
      <xdr:rowOff>173112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98801678-24B1-4826-80AA-2C59310A3B86}"/>
            </a:ext>
          </a:extLst>
        </xdr:cNvPr>
        <xdr:cNvGrpSpPr/>
      </xdr:nvGrpSpPr>
      <xdr:grpSpPr>
        <a:xfrm>
          <a:off x="2120611" y="3981301"/>
          <a:ext cx="1154932" cy="672449"/>
          <a:chOff x="2266402" y="4195128"/>
          <a:chExt cx="1154932" cy="672448"/>
        </a:xfrm>
      </xdr:grpSpPr>
      <xdr:sp macro="[0]!Eliminar" textlink="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68F723F3-3B8F-4727-A460-CD109F33EF38}"/>
              </a:ext>
            </a:extLst>
          </xdr:cNvPr>
          <xdr:cNvSpPr/>
        </xdr:nvSpPr>
        <xdr:spPr>
          <a:xfrm>
            <a:off x="2266402" y="4195128"/>
            <a:ext cx="1154932" cy="672448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ES" sz="110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Eliminar ultimo</a:t>
            </a:r>
          </a:p>
        </xdr:txBody>
      </xdr:sp>
      <xdr:pic macro="[0]!Eliminar">
        <xdr:nvPicPr>
          <xdr:cNvPr id="24" name="Imagen 23">
            <a:extLst>
              <a:ext uri="{FF2B5EF4-FFF2-40B4-BE49-F238E27FC236}">
                <a16:creationId xmlns:a16="http://schemas.microsoft.com/office/drawing/2014/main" id="{64FFB007-9290-469A-A132-C8F7A42AD6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xmlns="" r:id="rId6"/>
              </a:ext>
            </a:extLst>
          </a:blip>
          <a:stretch>
            <a:fillRect/>
          </a:stretch>
        </xdr:blipFill>
        <xdr:spPr>
          <a:xfrm>
            <a:off x="2643674" y="4316108"/>
            <a:ext cx="355610" cy="300602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464344</xdr:colOff>
      <xdr:row>0</xdr:row>
      <xdr:rowOff>202406</xdr:rowOff>
    </xdr:from>
    <xdr:to>
      <xdr:col>0</xdr:col>
      <xdr:colOff>2166938</xdr:colOff>
      <xdr:row>3</xdr:row>
      <xdr:rowOff>71439</xdr:rowOff>
    </xdr:to>
    <xdr:grpSp>
      <xdr:nvGrpSpPr>
        <xdr:cNvPr id="2" name="Group 2202">
          <a:extLst>
            <a:ext uri="{FF2B5EF4-FFF2-40B4-BE49-F238E27FC236}">
              <a16:creationId xmlns:a16="http://schemas.microsoft.com/office/drawing/2014/main" id="{BCCEFEB9-D562-4153-970A-ABE0758A7E24}"/>
            </a:ext>
          </a:extLst>
        </xdr:cNvPr>
        <xdr:cNvGrpSpPr>
          <a:grpSpLocks/>
        </xdr:cNvGrpSpPr>
      </xdr:nvGrpSpPr>
      <xdr:grpSpPr bwMode="auto">
        <a:xfrm>
          <a:off x="464344" y="202406"/>
          <a:ext cx="1140619" cy="476252"/>
          <a:chOff x="80" y="35"/>
          <a:chExt cx="114" cy="40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57C20F7B-72CD-408C-9571-16FC456DB4DE}"/>
              </a:ext>
            </a:extLst>
          </xdr:cNvPr>
          <xdr:cNvSpPr>
            <a:spLocks noChangeArrowheads="1"/>
          </xdr:cNvSpPr>
        </xdr:nvSpPr>
        <xdr:spPr bwMode="auto">
          <a:xfrm rot="3964086">
            <a:off x="116" y="-1"/>
            <a:ext cx="40" cy="112"/>
          </a:xfrm>
          <a:prstGeom prst="ellips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pic>
        <xdr:nvPicPr>
          <xdr:cNvPr id="4" name="Picture 3" descr="LOGOTIPO">
            <a:extLst>
              <a:ext uri="{FF2B5EF4-FFF2-40B4-BE49-F238E27FC236}">
                <a16:creationId xmlns:a16="http://schemas.microsoft.com/office/drawing/2014/main" id="{1F7353A4-6FD2-47F6-AF6B-E63F8351426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312"/>
          <a:stretch>
            <a:fillRect/>
          </a:stretch>
        </xdr:blipFill>
        <xdr:spPr bwMode="auto">
          <a:xfrm>
            <a:off x="80" y="41"/>
            <a:ext cx="114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24</xdr:row>
      <xdr:rowOff>76200</xdr:rowOff>
    </xdr:from>
    <xdr:to>
      <xdr:col>2</xdr:col>
      <xdr:colOff>1343025</xdr:colOff>
      <xdr:row>38</xdr:row>
      <xdr:rowOff>0</xdr:rowOff>
    </xdr:to>
    <xdr:grpSp>
      <xdr:nvGrpSpPr>
        <xdr:cNvPr id="34" name="Grupo 33">
          <a:extLst>
            <a:ext uri="{FF2B5EF4-FFF2-40B4-BE49-F238E27FC236}">
              <a16:creationId xmlns:a16="http://schemas.microsoft.com/office/drawing/2014/main" id="{551F01C4-C72B-46E2-98A5-99BE60F303C0}"/>
            </a:ext>
          </a:extLst>
        </xdr:cNvPr>
        <xdr:cNvGrpSpPr/>
      </xdr:nvGrpSpPr>
      <xdr:grpSpPr>
        <a:xfrm>
          <a:off x="361952" y="4781550"/>
          <a:ext cx="2962273" cy="2590800"/>
          <a:chOff x="285752" y="2333625"/>
          <a:chExt cx="2676523" cy="2447925"/>
        </a:xfrm>
      </xdr:grpSpPr>
      <xdr:graphicFrame macro="">
        <xdr:nvGraphicFramePr>
          <xdr:cNvPr id="11" name="Gráfico 10">
            <a:extLst>
              <a:ext uri="{FF2B5EF4-FFF2-40B4-BE49-F238E27FC236}">
                <a16:creationId xmlns:a16="http://schemas.microsoft.com/office/drawing/2014/main" id="{B54F480E-4CCD-4137-993C-938176855EC0}"/>
              </a:ext>
            </a:extLst>
          </xdr:cNvPr>
          <xdr:cNvGraphicFramePr/>
        </xdr:nvGraphicFramePr>
        <xdr:xfrm>
          <a:off x="285752" y="2710886"/>
          <a:ext cx="2676523" cy="20706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F$4">
        <xdr:nvSpPr>
          <xdr:cNvPr id="12" name="Rectángulo 11">
            <a:extLst>
              <a:ext uri="{FF2B5EF4-FFF2-40B4-BE49-F238E27FC236}">
                <a16:creationId xmlns:a16="http://schemas.microsoft.com/office/drawing/2014/main" id="{8D7B0B4C-CACF-442C-9276-DE19227ABC45}"/>
              </a:ext>
            </a:extLst>
          </xdr:cNvPr>
          <xdr:cNvSpPr/>
        </xdr:nvSpPr>
        <xdr:spPr>
          <a:xfrm>
            <a:off x="1257023" y="3504036"/>
            <a:ext cx="737135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E6AABE1-CD6B-4708-9DD0-E5DC042D25A5}" type="TxLink">
              <a:rPr lang="en-US" sz="105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bg1"/>
              </a:solidFill>
            </a:endParaRPr>
          </a:p>
        </xdr:txBody>
      </xdr:sp>
      <xdr:sp macro="" textlink="$B$4">
        <xdr:nvSpPr>
          <xdr:cNvPr id="13" name="Rectángulo 12">
            <a:extLst>
              <a:ext uri="{FF2B5EF4-FFF2-40B4-BE49-F238E27FC236}">
                <a16:creationId xmlns:a16="http://schemas.microsoft.com/office/drawing/2014/main" id="{C4908C72-0E10-480D-B2C0-CB26A6898050}"/>
              </a:ext>
            </a:extLst>
          </xdr:cNvPr>
          <xdr:cNvSpPr/>
        </xdr:nvSpPr>
        <xdr:spPr>
          <a:xfrm>
            <a:off x="843959" y="2333625"/>
            <a:ext cx="1533580" cy="41056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C300CF4-B531-44F0-B533-C89F39AE5838}" type="TxLink">
              <a:rPr lang="en-US" sz="1050" b="1" i="0" u="none" strike="noStrike">
                <a:solidFill>
                  <a:schemeClr val="accent1">
                    <a:lumMod val="50000"/>
                  </a:schemeClr>
                </a:solidFill>
                <a:latin typeface="Arial"/>
                <a:cs typeface="Arial"/>
              </a:rPr>
              <a:pPr algn="ctr"/>
              <a:t> </a:t>
            </a:fld>
            <a:endParaRPr lang="es-ES" sz="1200" b="1">
              <a:solidFill>
                <a:schemeClr val="accent1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95250</xdr:colOff>
      <xdr:row>41</xdr:row>
      <xdr:rowOff>114300</xdr:rowOff>
    </xdr:from>
    <xdr:to>
      <xdr:col>3</xdr:col>
      <xdr:colOff>28575</xdr:colOff>
      <xdr:row>54</xdr:row>
      <xdr:rowOff>152400</xdr:rowOff>
    </xdr:to>
    <xdr:grpSp>
      <xdr:nvGrpSpPr>
        <xdr:cNvPr id="33" name="Grupo 32">
          <a:extLst>
            <a:ext uri="{FF2B5EF4-FFF2-40B4-BE49-F238E27FC236}">
              <a16:creationId xmlns:a16="http://schemas.microsoft.com/office/drawing/2014/main" id="{C7063FCF-7930-4A6F-A6D7-9FE3B8D89C19}"/>
            </a:ext>
          </a:extLst>
        </xdr:cNvPr>
        <xdr:cNvGrpSpPr/>
      </xdr:nvGrpSpPr>
      <xdr:grpSpPr>
        <a:xfrm>
          <a:off x="95250" y="8058150"/>
          <a:ext cx="3524250" cy="2514600"/>
          <a:chOff x="3152775" y="2362200"/>
          <a:chExt cx="2914648" cy="2409825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460C771A-2CBD-4A73-8817-EA9FC38DC4FD}"/>
              </a:ext>
            </a:extLst>
          </xdr:cNvPr>
          <xdr:cNvGraphicFramePr/>
        </xdr:nvGraphicFramePr>
        <xdr:xfrm>
          <a:off x="3152775" y="2701361"/>
          <a:ext cx="2914648" cy="20706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$F$5">
        <xdr:nvSpPr>
          <xdr:cNvPr id="16" name="Rectángulo 15">
            <a:extLst>
              <a:ext uri="{FF2B5EF4-FFF2-40B4-BE49-F238E27FC236}">
                <a16:creationId xmlns:a16="http://schemas.microsoft.com/office/drawing/2014/main" id="{FCA61D2E-00F1-453C-BAFC-02C1FD94E040}"/>
              </a:ext>
            </a:extLst>
          </xdr:cNvPr>
          <xdr:cNvSpPr/>
        </xdr:nvSpPr>
        <xdr:spPr>
          <a:xfrm>
            <a:off x="4228821" y="3484986"/>
            <a:ext cx="737135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E21E078-4902-49E2-A841-D94EA7DAABFF}" type="TxLink">
              <a:rPr lang="en-US" sz="1000" b="1" i="0" u="none" strike="noStrike">
                <a:solidFill>
                  <a:schemeClr val="tx1"/>
                </a:solidFill>
                <a:latin typeface="Arial"/>
                <a:cs typeface="Arial"/>
              </a:rPr>
              <a:pPr algn="ctr"/>
              <a:t>#¡DIV/0!</a:t>
            </a:fld>
            <a:endParaRPr lang="es-ES" sz="1600" b="1">
              <a:solidFill>
                <a:schemeClr val="tx1"/>
              </a:solidFill>
            </a:endParaRPr>
          </a:p>
        </xdr:txBody>
      </xdr:sp>
      <xdr:sp macro="" textlink="$B$5">
        <xdr:nvSpPr>
          <xdr:cNvPr id="17" name="Rectángulo 16">
            <a:extLst>
              <a:ext uri="{FF2B5EF4-FFF2-40B4-BE49-F238E27FC236}">
                <a16:creationId xmlns:a16="http://schemas.microsoft.com/office/drawing/2014/main" id="{65F3D0FC-4F4B-44D8-AB21-88BCD2251F38}"/>
              </a:ext>
            </a:extLst>
          </xdr:cNvPr>
          <xdr:cNvSpPr/>
        </xdr:nvSpPr>
        <xdr:spPr>
          <a:xfrm>
            <a:off x="3796707" y="2362200"/>
            <a:ext cx="1533580" cy="41056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CE7EBCE-C30F-4CB0-922B-33E706FD9F63}" type="TxLink">
              <a:rPr lang="en-US" sz="1000" b="1" i="0" u="none" strike="noStrike">
                <a:solidFill>
                  <a:srgbClr val="FFC000"/>
                </a:solidFill>
                <a:latin typeface="Arial"/>
                <a:cs typeface="Arial"/>
              </a:rPr>
              <a:pPr algn="ctr"/>
              <a:t> </a:t>
            </a:fld>
            <a:endParaRPr lang="es-ES" sz="1200" b="1">
              <a:solidFill>
                <a:srgbClr val="FFC000"/>
              </a:solidFill>
            </a:endParaRPr>
          </a:p>
        </xdr:txBody>
      </xdr:sp>
    </xdr:grpSp>
    <xdr:clientData/>
  </xdr:twoCellAnchor>
  <xdr:twoCellAnchor>
    <xdr:from>
      <xdr:col>0</xdr:col>
      <xdr:colOff>123825</xdr:colOff>
      <xdr:row>57</xdr:row>
      <xdr:rowOff>142875</xdr:rowOff>
    </xdr:from>
    <xdr:to>
      <xdr:col>2</xdr:col>
      <xdr:colOff>1371600</xdr:colOff>
      <xdr:row>71</xdr:row>
      <xdr:rowOff>0</xdr:rowOff>
    </xdr:to>
    <xdr:grpSp>
      <xdr:nvGrpSpPr>
        <xdr:cNvPr id="32" name="Grupo 31">
          <a:extLst>
            <a:ext uri="{FF2B5EF4-FFF2-40B4-BE49-F238E27FC236}">
              <a16:creationId xmlns:a16="http://schemas.microsoft.com/office/drawing/2014/main" id="{FC691D02-6879-4D5E-BFAC-463AA1AEB7ED}"/>
            </a:ext>
          </a:extLst>
        </xdr:cNvPr>
        <xdr:cNvGrpSpPr/>
      </xdr:nvGrpSpPr>
      <xdr:grpSpPr>
        <a:xfrm>
          <a:off x="123825" y="11134725"/>
          <a:ext cx="3228975" cy="2524125"/>
          <a:chOff x="6324600" y="2295525"/>
          <a:chExt cx="2924175" cy="2505075"/>
        </a:xfrm>
      </xdr:grpSpPr>
      <xdr:graphicFrame macro="">
        <xdr:nvGraphicFramePr>
          <xdr:cNvPr id="19" name="Gráfico 18">
            <a:extLst>
              <a:ext uri="{FF2B5EF4-FFF2-40B4-BE49-F238E27FC236}">
                <a16:creationId xmlns:a16="http://schemas.microsoft.com/office/drawing/2014/main" id="{B661C15A-8589-41FD-8BC4-473A552DA760}"/>
              </a:ext>
            </a:extLst>
          </xdr:cNvPr>
          <xdr:cNvGraphicFramePr/>
        </xdr:nvGraphicFramePr>
        <xdr:xfrm>
          <a:off x="6324600" y="2648091"/>
          <a:ext cx="2924175" cy="215250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$F$6">
        <xdr:nvSpPr>
          <xdr:cNvPr id="20" name="Rectángulo 19">
            <a:extLst>
              <a:ext uri="{FF2B5EF4-FFF2-40B4-BE49-F238E27FC236}">
                <a16:creationId xmlns:a16="http://schemas.microsoft.com/office/drawing/2014/main" id="{7E554E94-766F-4277-BDCB-7BC3327CCED4}"/>
              </a:ext>
            </a:extLst>
          </xdr:cNvPr>
          <xdr:cNvSpPr/>
        </xdr:nvSpPr>
        <xdr:spPr>
          <a:xfrm>
            <a:off x="7404163" y="3473344"/>
            <a:ext cx="739545" cy="43606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028DED0-C9A9-4D01-8706-DFE873187A20}" type="TxLink">
              <a:rPr lang="en-US" sz="105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#¡DIV/0!</a:t>
            </a:fld>
            <a:endParaRPr lang="es-ES" sz="1200" b="1">
              <a:solidFill>
                <a:schemeClr val="tx1"/>
              </a:solidFill>
            </a:endParaRPr>
          </a:p>
        </xdr:txBody>
      </xdr:sp>
      <xdr:sp macro="" textlink="$B$6">
        <xdr:nvSpPr>
          <xdr:cNvPr id="21" name="Rectángulo 20">
            <a:extLst>
              <a:ext uri="{FF2B5EF4-FFF2-40B4-BE49-F238E27FC236}">
                <a16:creationId xmlns:a16="http://schemas.microsoft.com/office/drawing/2014/main" id="{AD39F30C-A470-4D36-B090-B53AD0FC466C}"/>
              </a:ext>
            </a:extLst>
          </xdr:cNvPr>
          <xdr:cNvSpPr/>
        </xdr:nvSpPr>
        <xdr:spPr>
          <a:xfrm>
            <a:off x="6970636" y="2295525"/>
            <a:ext cx="1538593" cy="42679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B009748-E772-4934-A52F-756DB7606C32}" type="TxLink">
              <a:rPr lang="en-US" sz="1000" b="1" i="0" u="none" strike="noStrike">
                <a:solidFill>
                  <a:schemeClr val="accent6">
                    <a:lumMod val="75000"/>
                  </a:schemeClr>
                </a:solidFill>
                <a:latin typeface="Arial"/>
                <a:cs typeface="Arial"/>
              </a:rPr>
              <a:pPr algn="ctr"/>
              <a:t> </a:t>
            </a:fld>
            <a:endParaRPr lang="es-ES" sz="1200" b="1">
              <a:solidFill>
                <a:schemeClr val="accent6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142875</xdr:colOff>
      <xdr:row>74</xdr:row>
      <xdr:rowOff>9525</xdr:rowOff>
    </xdr:from>
    <xdr:to>
      <xdr:col>2</xdr:col>
      <xdr:colOff>1362073</xdr:colOff>
      <xdr:row>86</xdr:row>
      <xdr:rowOff>133350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ED89B725-8DEF-414A-B8B6-9485EDA2D1CA}"/>
            </a:ext>
          </a:extLst>
        </xdr:cNvPr>
        <xdr:cNvGrpSpPr/>
      </xdr:nvGrpSpPr>
      <xdr:grpSpPr>
        <a:xfrm>
          <a:off x="142875" y="14239875"/>
          <a:ext cx="3200398" cy="2409825"/>
          <a:chOff x="1571625" y="5057775"/>
          <a:chExt cx="2914648" cy="2409825"/>
        </a:xfrm>
      </xdr:grpSpPr>
      <xdr:graphicFrame macro="">
        <xdr:nvGraphicFramePr>
          <xdr:cNvPr id="23" name="Gráfico 22">
            <a:extLst>
              <a:ext uri="{FF2B5EF4-FFF2-40B4-BE49-F238E27FC236}">
                <a16:creationId xmlns:a16="http://schemas.microsoft.com/office/drawing/2014/main" id="{EA5269C7-EF68-4227-8854-EADCDAB5BCA2}"/>
              </a:ext>
            </a:extLst>
          </xdr:cNvPr>
          <xdr:cNvGraphicFramePr/>
        </xdr:nvGraphicFramePr>
        <xdr:xfrm>
          <a:off x="1571625" y="5396936"/>
          <a:ext cx="2914648" cy="20706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$F$7">
        <xdr:nvSpPr>
          <xdr:cNvPr id="24" name="Rectángulo 23">
            <a:extLst>
              <a:ext uri="{FF2B5EF4-FFF2-40B4-BE49-F238E27FC236}">
                <a16:creationId xmlns:a16="http://schemas.microsoft.com/office/drawing/2014/main" id="{0D7DCB38-60E1-414E-BB46-4B7AC8CDA317}"/>
              </a:ext>
            </a:extLst>
          </xdr:cNvPr>
          <xdr:cNvSpPr/>
        </xdr:nvSpPr>
        <xdr:spPr>
          <a:xfrm>
            <a:off x="2638146" y="6199611"/>
            <a:ext cx="737135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6770F387-97AE-4101-95C9-F31F84D9CA9C}" type="TxLink">
              <a:rPr lang="en-US" sz="105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bg1"/>
              </a:solidFill>
            </a:endParaRPr>
          </a:p>
        </xdr:txBody>
      </xdr:sp>
      <xdr:sp macro="" textlink="$B$7">
        <xdr:nvSpPr>
          <xdr:cNvPr id="25" name="Rectángulo 24">
            <a:extLst>
              <a:ext uri="{FF2B5EF4-FFF2-40B4-BE49-F238E27FC236}">
                <a16:creationId xmlns:a16="http://schemas.microsoft.com/office/drawing/2014/main" id="{9D23E65E-440F-40C6-8D65-F0E0007B590F}"/>
              </a:ext>
            </a:extLst>
          </xdr:cNvPr>
          <xdr:cNvSpPr/>
        </xdr:nvSpPr>
        <xdr:spPr>
          <a:xfrm>
            <a:off x="2215557" y="5057775"/>
            <a:ext cx="1533580" cy="41056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640ADF87-1815-40EC-B9A1-B28DDBC89B00}" type="TxLink">
              <a:rPr lang="en-US" sz="1000" b="1" i="0" u="none" strike="noStrike">
                <a:solidFill>
                  <a:schemeClr val="accent2">
                    <a:lumMod val="75000"/>
                  </a:schemeClr>
                </a:solidFill>
                <a:latin typeface="Arial"/>
                <a:cs typeface="Arial"/>
              </a:rPr>
              <a:pPr algn="ctr"/>
              <a:t> </a:t>
            </a:fld>
            <a:endParaRPr lang="es-ES" sz="1200" b="1">
              <a:solidFill>
                <a:schemeClr val="accent2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142875</xdr:colOff>
      <xdr:row>88</xdr:row>
      <xdr:rowOff>95250</xdr:rowOff>
    </xdr:from>
    <xdr:to>
      <xdr:col>2</xdr:col>
      <xdr:colOff>1362073</xdr:colOff>
      <xdr:row>101</xdr:row>
      <xdr:rowOff>28575</xdr:rowOff>
    </xdr:to>
    <xdr:grpSp>
      <xdr:nvGrpSpPr>
        <xdr:cNvPr id="36" name="Grupo 35">
          <a:extLst>
            <a:ext uri="{FF2B5EF4-FFF2-40B4-BE49-F238E27FC236}">
              <a16:creationId xmlns:a16="http://schemas.microsoft.com/office/drawing/2014/main" id="{43351123-D4C6-4A54-9351-0C9DF85FB3FF}"/>
            </a:ext>
          </a:extLst>
        </xdr:cNvPr>
        <xdr:cNvGrpSpPr/>
      </xdr:nvGrpSpPr>
      <xdr:grpSpPr>
        <a:xfrm>
          <a:off x="142875" y="16992600"/>
          <a:ext cx="3200398" cy="2409825"/>
          <a:chOff x="5057775" y="5067300"/>
          <a:chExt cx="2914648" cy="2409825"/>
        </a:xfrm>
      </xdr:grpSpPr>
      <xdr:graphicFrame macro="">
        <xdr:nvGraphicFramePr>
          <xdr:cNvPr id="28" name="Gráfico 27">
            <a:extLst>
              <a:ext uri="{FF2B5EF4-FFF2-40B4-BE49-F238E27FC236}">
                <a16:creationId xmlns:a16="http://schemas.microsoft.com/office/drawing/2014/main" id="{BBC63D78-7CB8-4A61-A405-A9CADD492188}"/>
              </a:ext>
            </a:extLst>
          </xdr:cNvPr>
          <xdr:cNvGraphicFramePr/>
        </xdr:nvGraphicFramePr>
        <xdr:xfrm>
          <a:off x="5057775" y="5406461"/>
          <a:ext cx="2914648" cy="20706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$F$8">
        <xdr:nvSpPr>
          <xdr:cNvPr id="29" name="Rectángulo 28">
            <a:extLst>
              <a:ext uri="{FF2B5EF4-FFF2-40B4-BE49-F238E27FC236}">
                <a16:creationId xmlns:a16="http://schemas.microsoft.com/office/drawing/2014/main" id="{EE1FB72C-C09D-47AC-90F8-19FFBA649685}"/>
              </a:ext>
            </a:extLst>
          </xdr:cNvPr>
          <xdr:cNvSpPr/>
        </xdr:nvSpPr>
        <xdr:spPr>
          <a:xfrm>
            <a:off x="6133821" y="6199611"/>
            <a:ext cx="737135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83EC17A-31E3-4D45-8DF5-60F6527687AC}" type="TxLink">
              <a:rPr lang="en-US" sz="105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bg1"/>
              </a:solidFill>
            </a:endParaRPr>
          </a:p>
        </xdr:txBody>
      </xdr:sp>
      <xdr:sp macro="" textlink="$B$8">
        <xdr:nvSpPr>
          <xdr:cNvPr id="30" name="Rectángulo 29">
            <a:extLst>
              <a:ext uri="{FF2B5EF4-FFF2-40B4-BE49-F238E27FC236}">
                <a16:creationId xmlns:a16="http://schemas.microsoft.com/office/drawing/2014/main" id="{FC28F4E4-E039-4293-9CBB-B630E361E9C5}"/>
              </a:ext>
            </a:extLst>
          </xdr:cNvPr>
          <xdr:cNvSpPr/>
        </xdr:nvSpPr>
        <xdr:spPr>
          <a:xfrm>
            <a:off x="5701707" y="5067300"/>
            <a:ext cx="1533580" cy="41056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BB264AC-840C-49DF-B13E-14218F14D877}" type="TxLink">
              <a:rPr lang="en-US" sz="1000" b="1" i="0" u="none" strike="noStrike">
                <a:solidFill>
                  <a:srgbClr val="7030A0"/>
                </a:solidFill>
                <a:latin typeface="Arial"/>
                <a:cs typeface="Arial"/>
              </a:rPr>
              <a:pPr algn="ctr"/>
              <a:t> </a:t>
            </a:fld>
            <a:endParaRPr lang="es-ES" sz="1200" b="1">
              <a:solidFill>
                <a:srgbClr val="7030A0"/>
              </a:solidFill>
            </a:endParaRPr>
          </a:p>
        </xdr:txBody>
      </xdr:sp>
    </xdr:grpSp>
    <xdr:clientData/>
  </xdr:twoCellAnchor>
  <xdr:twoCellAnchor>
    <xdr:from>
      <xdr:col>3</xdr:col>
      <xdr:colOff>257175</xdr:colOff>
      <xdr:row>29</xdr:row>
      <xdr:rowOff>66675</xdr:rowOff>
    </xdr:from>
    <xdr:to>
      <xdr:col>6</xdr:col>
      <xdr:colOff>1152525</xdr:colOff>
      <xdr:row>35</xdr:row>
      <xdr:rowOff>152400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A0313CEC-AFBA-4EE6-ADF0-C70E5EB770EA}"/>
            </a:ext>
          </a:extLst>
        </xdr:cNvPr>
        <xdr:cNvSpPr txBox="1"/>
      </xdr:nvSpPr>
      <xdr:spPr>
        <a:xfrm>
          <a:off x="3638550" y="3819525"/>
          <a:ext cx="5153025" cy="1228725"/>
        </a:xfrm>
        <a:prstGeom prst="rect">
          <a:avLst/>
        </a:prstGeom>
        <a:solidFill>
          <a:schemeClr val="lt1"/>
        </a:solidFill>
        <a:ln w="9525" cmpd="sng">
          <a:solidFill>
            <a:schemeClr val="accent1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Analisis:</a:t>
          </a:r>
        </a:p>
      </xdr:txBody>
    </xdr:sp>
    <xdr:clientData/>
  </xdr:twoCellAnchor>
  <xdr:twoCellAnchor>
    <xdr:from>
      <xdr:col>2</xdr:col>
      <xdr:colOff>904875</xdr:colOff>
      <xdr:row>30</xdr:row>
      <xdr:rowOff>114300</xdr:rowOff>
    </xdr:from>
    <xdr:to>
      <xdr:col>2</xdr:col>
      <xdr:colOff>1352550</xdr:colOff>
      <xdr:row>34</xdr:row>
      <xdr:rowOff>0</xdr:rowOff>
    </xdr:to>
    <xdr:sp macro="" textlink="">
      <xdr:nvSpPr>
        <xdr:cNvPr id="4" name="Flecha: a la derecha 3">
          <a:extLst>
            <a:ext uri="{FF2B5EF4-FFF2-40B4-BE49-F238E27FC236}">
              <a16:creationId xmlns:a16="http://schemas.microsoft.com/office/drawing/2014/main" id="{190FAE38-98E4-40CD-94F6-2BE44E4FD47D}"/>
            </a:ext>
          </a:extLst>
        </xdr:cNvPr>
        <xdr:cNvSpPr/>
      </xdr:nvSpPr>
      <xdr:spPr>
        <a:xfrm>
          <a:off x="2886075" y="4057650"/>
          <a:ext cx="447675" cy="6477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904875</xdr:colOff>
      <xdr:row>93</xdr:row>
      <xdr:rowOff>152400</xdr:rowOff>
    </xdr:from>
    <xdr:to>
      <xdr:col>2</xdr:col>
      <xdr:colOff>1352550</xdr:colOff>
      <xdr:row>97</xdr:row>
      <xdr:rowOff>38100</xdr:rowOff>
    </xdr:to>
    <xdr:sp macro="" textlink="">
      <xdr:nvSpPr>
        <xdr:cNvPr id="26" name="Flecha: a la derecha 25">
          <a:extLst>
            <a:ext uri="{FF2B5EF4-FFF2-40B4-BE49-F238E27FC236}">
              <a16:creationId xmlns:a16="http://schemas.microsoft.com/office/drawing/2014/main" id="{53495EC4-8E18-429F-9DA1-AB9D91AF7EC2}"/>
            </a:ext>
          </a:extLst>
        </xdr:cNvPr>
        <xdr:cNvSpPr/>
      </xdr:nvSpPr>
      <xdr:spPr>
        <a:xfrm>
          <a:off x="2886075" y="16097250"/>
          <a:ext cx="447675" cy="647700"/>
        </a:xfrm>
        <a:prstGeom prst="rightArrow">
          <a:avLst/>
        </a:prstGeom>
        <a:solidFill>
          <a:srgbClr val="B889DB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904875</xdr:colOff>
      <xdr:row>79</xdr:row>
      <xdr:rowOff>133350</xdr:rowOff>
    </xdr:from>
    <xdr:to>
      <xdr:col>2</xdr:col>
      <xdr:colOff>1352550</xdr:colOff>
      <xdr:row>83</xdr:row>
      <xdr:rowOff>19050</xdr:rowOff>
    </xdr:to>
    <xdr:sp macro="" textlink="">
      <xdr:nvSpPr>
        <xdr:cNvPr id="27" name="Flecha: a la derecha 26">
          <a:extLst>
            <a:ext uri="{FF2B5EF4-FFF2-40B4-BE49-F238E27FC236}">
              <a16:creationId xmlns:a16="http://schemas.microsoft.com/office/drawing/2014/main" id="{51C38436-73F9-4A84-A412-B79EF5F546CF}"/>
            </a:ext>
          </a:extLst>
        </xdr:cNvPr>
        <xdr:cNvSpPr/>
      </xdr:nvSpPr>
      <xdr:spPr>
        <a:xfrm>
          <a:off x="2886075" y="13411200"/>
          <a:ext cx="447675" cy="647700"/>
        </a:xfrm>
        <a:prstGeom prst="rightArrow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904875</xdr:colOff>
      <xdr:row>63</xdr:row>
      <xdr:rowOff>133350</xdr:rowOff>
    </xdr:from>
    <xdr:to>
      <xdr:col>2</xdr:col>
      <xdr:colOff>1352550</xdr:colOff>
      <xdr:row>67</xdr:row>
      <xdr:rowOff>19050</xdr:rowOff>
    </xdr:to>
    <xdr:sp macro="" textlink="">
      <xdr:nvSpPr>
        <xdr:cNvPr id="31" name="Flecha: a la derecha 30">
          <a:extLst>
            <a:ext uri="{FF2B5EF4-FFF2-40B4-BE49-F238E27FC236}">
              <a16:creationId xmlns:a16="http://schemas.microsoft.com/office/drawing/2014/main" id="{8F9D2E59-B046-44B3-AC6E-8B618D733561}"/>
            </a:ext>
          </a:extLst>
        </xdr:cNvPr>
        <xdr:cNvSpPr/>
      </xdr:nvSpPr>
      <xdr:spPr>
        <a:xfrm>
          <a:off x="2886075" y="10363200"/>
          <a:ext cx="447675" cy="647700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904875</xdr:colOff>
      <xdr:row>47</xdr:row>
      <xdr:rowOff>114300</xdr:rowOff>
    </xdr:from>
    <xdr:to>
      <xdr:col>2</xdr:col>
      <xdr:colOff>1352550</xdr:colOff>
      <xdr:row>51</xdr:row>
      <xdr:rowOff>0</xdr:rowOff>
    </xdr:to>
    <xdr:sp macro="" textlink="">
      <xdr:nvSpPr>
        <xdr:cNvPr id="37" name="Flecha: a la derecha 36">
          <a:extLst>
            <a:ext uri="{FF2B5EF4-FFF2-40B4-BE49-F238E27FC236}">
              <a16:creationId xmlns:a16="http://schemas.microsoft.com/office/drawing/2014/main" id="{EC8D1017-9496-44FB-8D75-1A97401349FB}"/>
            </a:ext>
          </a:extLst>
        </xdr:cNvPr>
        <xdr:cNvSpPr/>
      </xdr:nvSpPr>
      <xdr:spPr>
        <a:xfrm>
          <a:off x="2886075" y="7296150"/>
          <a:ext cx="447675" cy="647700"/>
        </a:xfrm>
        <a:prstGeom prst="rightArrow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257175</xdr:colOff>
      <xdr:row>46</xdr:row>
      <xdr:rowOff>9525</xdr:rowOff>
    </xdr:from>
    <xdr:to>
      <xdr:col>6</xdr:col>
      <xdr:colOff>1152525</xdr:colOff>
      <xdr:row>52</xdr:row>
      <xdr:rowOff>95250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01D275B6-3C6A-4E93-8431-27890EF5D0BD}"/>
            </a:ext>
          </a:extLst>
        </xdr:cNvPr>
        <xdr:cNvSpPr txBox="1"/>
      </xdr:nvSpPr>
      <xdr:spPr>
        <a:xfrm>
          <a:off x="3638550" y="7000875"/>
          <a:ext cx="5153025" cy="1228725"/>
        </a:xfrm>
        <a:prstGeom prst="rect">
          <a:avLst/>
        </a:prstGeom>
        <a:noFill/>
        <a:ln w="9525" cmpd="sng">
          <a:solidFill>
            <a:schemeClr val="accent4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Analisis:</a:t>
          </a:r>
        </a:p>
      </xdr:txBody>
    </xdr:sp>
    <xdr:clientData/>
  </xdr:twoCellAnchor>
  <xdr:twoCellAnchor>
    <xdr:from>
      <xdr:col>3</xdr:col>
      <xdr:colOff>257175</xdr:colOff>
      <xdr:row>62</xdr:row>
      <xdr:rowOff>38100</xdr:rowOff>
    </xdr:from>
    <xdr:to>
      <xdr:col>6</xdr:col>
      <xdr:colOff>1152525</xdr:colOff>
      <xdr:row>68</xdr:row>
      <xdr:rowOff>123825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90C7CA7D-5A9D-4770-B6B5-0B597D62255A}"/>
            </a:ext>
          </a:extLst>
        </xdr:cNvPr>
        <xdr:cNvSpPr txBox="1"/>
      </xdr:nvSpPr>
      <xdr:spPr>
        <a:xfrm>
          <a:off x="3638550" y="10077450"/>
          <a:ext cx="5153025" cy="1228725"/>
        </a:xfrm>
        <a:prstGeom prst="rect">
          <a:avLst/>
        </a:prstGeom>
        <a:solidFill>
          <a:schemeClr val="lt1"/>
        </a:solidFill>
        <a:ln w="9525" cmpd="sng">
          <a:solidFill>
            <a:schemeClr val="accent6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Analisis:</a:t>
          </a:r>
        </a:p>
      </xdr:txBody>
    </xdr:sp>
    <xdr:clientData/>
  </xdr:twoCellAnchor>
  <xdr:twoCellAnchor>
    <xdr:from>
      <xdr:col>3</xdr:col>
      <xdr:colOff>257175</xdr:colOff>
      <xdr:row>78</xdr:row>
      <xdr:rowOff>38100</xdr:rowOff>
    </xdr:from>
    <xdr:to>
      <xdr:col>6</xdr:col>
      <xdr:colOff>1152525</xdr:colOff>
      <xdr:row>84</xdr:row>
      <xdr:rowOff>123825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726318CD-1BBD-4FDC-984E-5599DFF934C8}"/>
            </a:ext>
          </a:extLst>
        </xdr:cNvPr>
        <xdr:cNvSpPr txBox="1"/>
      </xdr:nvSpPr>
      <xdr:spPr>
        <a:xfrm>
          <a:off x="3638550" y="13125450"/>
          <a:ext cx="5153025" cy="1228725"/>
        </a:xfrm>
        <a:prstGeom prst="rect">
          <a:avLst/>
        </a:prstGeom>
        <a:solidFill>
          <a:schemeClr val="lt1"/>
        </a:solidFill>
        <a:ln w="9525" cmpd="sng">
          <a:solidFill>
            <a:schemeClr val="accent2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Analisis:</a:t>
          </a:r>
        </a:p>
      </xdr:txBody>
    </xdr:sp>
    <xdr:clientData/>
  </xdr:twoCellAnchor>
  <xdr:twoCellAnchor>
    <xdr:from>
      <xdr:col>3</xdr:col>
      <xdr:colOff>257175</xdr:colOff>
      <xdr:row>92</xdr:row>
      <xdr:rowOff>28575</xdr:rowOff>
    </xdr:from>
    <xdr:to>
      <xdr:col>6</xdr:col>
      <xdr:colOff>1152525</xdr:colOff>
      <xdr:row>98</xdr:row>
      <xdr:rowOff>114300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E0448135-3E03-42F9-8DA2-1CEB01B690DA}"/>
            </a:ext>
          </a:extLst>
        </xdr:cNvPr>
        <xdr:cNvSpPr txBox="1"/>
      </xdr:nvSpPr>
      <xdr:spPr>
        <a:xfrm>
          <a:off x="3638550" y="15782925"/>
          <a:ext cx="5153025" cy="1228725"/>
        </a:xfrm>
        <a:prstGeom prst="rect">
          <a:avLst/>
        </a:prstGeom>
        <a:solidFill>
          <a:schemeClr val="lt1"/>
        </a:solidFill>
        <a:ln w="9525" cmpd="sng">
          <a:solidFill>
            <a:srgbClr val="B889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Analisis:</a:t>
          </a:r>
        </a:p>
      </xdr:txBody>
    </xdr:sp>
    <xdr:clientData/>
  </xdr:twoCellAnchor>
  <xdr:twoCellAnchor>
    <xdr:from>
      <xdr:col>0</xdr:col>
      <xdr:colOff>219075</xdr:colOff>
      <xdr:row>103</xdr:row>
      <xdr:rowOff>75036</xdr:rowOff>
    </xdr:from>
    <xdr:to>
      <xdr:col>3</xdr:col>
      <xdr:colOff>38098</xdr:colOff>
      <xdr:row>116</xdr:row>
      <xdr:rowOff>171450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D28957DE-4908-472C-A843-E92E97A8672B}"/>
            </a:ext>
          </a:extLst>
        </xdr:cNvPr>
        <xdr:cNvGrpSpPr/>
      </xdr:nvGrpSpPr>
      <xdr:grpSpPr>
        <a:xfrm>
          <a:off x="219075" y="19829886"/>
          <a:ext cx="3409948" cy="2572914"/>
          <a:chOff x="238125" y="14762586"/>
          <a:chExt cx="3200398" cy="2572914"/>
        </a:xfrm>
      </xdr:grpSpPr>
      <xdr:sp macro="" textlink="$F$8">
        <xdr:nvSpPr>
          <xdr:cNvPr id="44" name="Rectángulo 43">
            <a:extLst>
              <a:ext uri="{FF2B5EF4-FFF2-40B4-BE49-F238E27FC236}">
                <a16:creationId xmlns:a16="http://schemas.microsoft.com/office/drawing/2014/main" id="{444CB24A-C94B-405F-94FE-065271B5F1CD}"/>
              </a:ext>
            </a:extLst>
          </xdr:cNvPr>
          <xdr:cNvSpPr/>
        </xdr:nvSpPr>
        <xdr:spPr>
          <a:xfrm>
            <a:off x="1372041" y="14762586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83EC17A-31E3-4D45-8DF5-60F6527687AC}" type="TxLink">
              <a:rPr lang="en-US" sz="105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47" name="Gráfico 46">
            <a:extLst>
              <a:ext uri="{FF2B5EF4-FFF2-40B4-BE49-F238E27FC236}">
                <a16:creationId xmlns:a16="http://schemas.microsoft.com/office/drawing/2014/main" id="{5069680C-D2B5-43A7-B277-1C406F950A44}"/>
              </a:ext>
            </a:extLst>
          </xdr:cNvPr>
          <xdr:cNvGraphicFramePr/>
        </xdr:nvGraphicFramePr>
        <xdr:xfrm>
          <a:off x="238125" y="15264836"/>
          <a:ext cx="3200398" cy="20706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$F$9">
        <xdr:nvSpPr>
          <xdr:cNvPr id="48" name="Rectángulo 47">
            <a:extLst>
              <a:ext uri="{FF2B5EF4-FFF2-40B4-BE49-F238E27FC236}">
                <a16:creationId xmlns:a16="http://schemas.microsoft.com/office/drawing/2014/main" id="{D3A6262D-0F8E-4903-8AEE-6150618C1370}"/>
              </a:ext>
            </a:extLst>
          </xdr:cNvPr>
          <xdr:cNvSpPr/>
        </xdr:nvSpPr>
        <xdr:spPr>
          <a:xfrm>
            <a:off x="1419666" y="16057986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47DAB32-C957-415B-84DC-F9D8A291A24A}" type="TxLink">
              <a:rPr lang="en-US" sz="1000" b="1" i="0" u="none" strike="noStrike">
                <a:solidFill>
                  <a:schemeClr val="tx2">
                    <a:lumMod val="75000"/>
                  </a:schemeClr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tx2">
                  <a:lumMod val="75000"/>
                </a:schemeClr>
              </a:solidFill>
            </a:endParaRPr>
          </a:p>
        </xdr:txBody>
      </xdr:sp>
      <xdr:sp macro="" textlink="$B$9">
        <xdr:nvSpPr>
          <xdr:cNvPr id="49" name="Rectángulo 48">
            <a:extLst>
              <a:ext uri="{FF2B5EF4-FFF2-40B4-BE49-F238E27FC236}">
                <a16:creationId xmlns:a16="http://schemas.microsoft.com/office/drawing/2014/main" id="{9EA905E3-9997-43C1-9C9F-905D61586322}"/>
              </a:ext>
            </a:extLst>
          </xdr:cNvPr>
          <xdr:cNvSpPr/>
        </xdr:nvSpPr>
        <xdr:spPr>
          <a:xfrm>
            <a:off x="945188" y="14925675"/>
            <a:ext cx="1683931" cy="41056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67AD1DB-2881-4BA9-8EE2-BB707C4418B9}" type="TxLink">
              <a:rPr lang="en-US" sz="1000" b="1" i="0" u="none" strike="noStrike">
                <a:solidFill>
                  <a:schemeClr val="tx2">
                    <a:lumMod val="75000"/>
                  </a:schemeClr>
                </a:solidFill>
                <a:latin typeface="Arial"/>
                <a:cs typeface="Arial"/>
              </a:rPr>
              <a:pPr algn="ctr"/>
              <a:t> </a:t>
            </a:fld>
            <a:endParaRPr lang="es-ES" sz="1200" b="1">
              <a:solidFill>
                <a:schemeClr val="tx2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257175</xdr:colOff>
      <xdr:row>108</xdr:row>
      <xdr:rowOff>38100</xdr:rowOff>
    </xdr:from>
    <xdr:to>
      <xdr:col>6</xdr:col>
      <xdr:colOff>1152525</xdr:colOff>
      <xdr:row>114</xdr:row>
      <xdr:rowOff>123825</xdr:rowOff>
    </xdr:to>
    <xdr:sp macro="" textlink="">
      <xdr:nvSpPr>
        <xdr:cNvPr id="54" name="CuadroTexto 53">
          <a:extLst>
            <a:ext uri="{FF2B5EF4-FFF2-40B4-BE49-F238E27FC236}">
              <a16:creationId xmlns:a16="http://schemas.microsoft.com/office/drawing/2014/main" id="{16DEAAAD-8013-4725-A034-21524015B768}"/>
            </a:ext>
          </a:extLst>
        </xdr:cNvPr>
        <xdr:cNvSpPr txBox="1"/>
      </xdr:nvSpPr>
      <xdr:spPr>
        <a:xfrm>
          <a:off x="3638550" y="18840450"/>
          <a:ext cx="5153025" cy="1228725"/>
        </a:xfrm>
        <a:prstGeom prst="rect">
          <a:avLst/>
        </a:prstGeom>
        <a:solidFill>
          <a:schemeClr val="lt1"/>
        </a:solidFill>
        <a:ln w="9525" cmpd="sng">
          <a:solidFill>
            <a:schemeClr val="tx2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Analisis:</a:t>
          </a:r>
        </a:p>
      </xdr:txBody>
    </xdr:sp>
    <xdr:clientData/>
  </xdr:twoCellAnchor>
  <xdr:twoCellAnchor>
    <xdr:from>
      <xdr:col>2</xdr:col>
      <xdr:colOff>904875</xdr:colOff>
      <xdr:row>109</xdr:row>
      <xdr:rowOff>141711</xdr:rowOff>
    </xdr:from>
    <xdr:to>
      <xdr:col>2</xdr:col>
      <xdr:colOff>1352550</xdr:colOff>
      <xdr:row>113</xdr:row>
      <xdr:rowOff>27411</xdr:rowOff>
    </xdr:to>
    <xdr:sp macro="" textlink="">
      <xdr:nvSpPr>
        <xdr:cNvPr id="55" name="Flecha: a la derecha 54">
          <a:extLst>
            <a:ext uri="{FF2B5EF4-FFF2-40B4-BE49-F238E27FC236}">
              <a16:creationId xmlns:a16="http://schemas.microsoft.com/office/drawing/2014/main" id="{D734D653-055B-46E5-ABE8-37679CB48C5A}"/>
            </a:ext>
          </a:extLst>
        </xdr:cNvPr>
        <xdr:cNvSpPr/>
      </xdr:nvSpPr>
      <xdr:spPr>
        <a:xfrm>
          <a:off x="2886075" y="19134561"/>
          <a:ext cx="447675" cy="647700"/>
        </a:xfrm>
        <a:prstGeom prst="rightArrow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276225</xdr:colOff>
      <xdr:row>119</xdr:row>
      <xdr:rowOff>114300</xdr:rowOff>
    </xdr:from>
    <xdr:to>
      <xdr:col>3</xdr:col>
      <xdr:colOff>95248</xdr:colOff>
      <xdr:row>133</xdr:row>
      <xdr:rowOff>20214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D377D77E-9D42-4672-8888-D3949EA275D3}"/>
            </a:ext>
          </a:extLst>
        </xdr:cNvPr>
        <xdr:cNvGrpSpPr/>
      </xdr:nvGrpSpPr>
      <xdr:grpSpPr>
        <a:xfrm>
          <a:off x="276225" y="22917150"/>
          <a:ext cx="3409948" cy="2572914"/>
          <a:chOff x="276225" y="17916525"/>
          <a:chExt cx="3200398" cy="2572914"/>
        </a:xfrm>
      </xdr:grpSpPr>
      <xdr:sp macro="" textlink="$F$8">
        <xdr:nvSpPr>
          <xdr:cNvPr id="57" name="Rectángulo 56">
            <a:extLst>
              <a:ext uri="{FF2B5EF4-FFF2-40B4-BE49-F238E27FC236}">
                <a16:creationId xmlns:a16="http://schemas.microsoft.com/office/drawing/2014/main" id="{7B72ED96-6208-4713-9C11-61816CC1C2BF}"/>
              </a:ext>
            </a:extLst>
          </xdr:cNvPr>
          <xdr:cNvSpPr/>
        </xdr:nvSpPr>
        <xdr:spPr>
          <a:xfrm>
            <a:off x="1410141" y="17916525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83EC17A-31E3-4D45-8DF5-60F6527687AC}" type="TxLink">
              <a:rPr lang="en-US" sz="105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58" name="Gráfico 57">
            <a:extLst>
              <a:ext uri="{FF2B5EF4-FFF2-40B4-BE49-F238E27FC236}">
                <a16:creationId xmlns:a16="http://schemas.microsoft.com/office/drawing/2014/main" id="{1C02D17D-52F8-4107-9575-35EE3B8F0322}"/>
              </a:ext>
            </a:extLst>
          </xdr:cNvPr>
          <xdr:cNvGraphicFramePr/>
        </xdr:nvGraphicFramePr>
        <xdr:xfrm>
          <a:off x="276225" y="18418775"/>
          <a:ext cx="3200398" cy="20706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$F$10">
        <xdr:nvSpPr>
          <xdr:cNvPr id="59" name="Rectángulo 58">
            <a:extLst>
              <a:ext uri="{FF2B5EF4-FFF2-40B4-BE49-F238E27FC236}">
                <a16:creationId xmlns:a16="http://schemas.microsoft.com/office/drawing/2014/main" id="{A91185ED-EB3E-4AF0-B0F7-8FFDFA009D9F}"/>
              </a:ext>
            </a:extLst>
          </xdr:cNvPr>
          <xdr:cNvSpPr/>
        </xdr:nvSpPr>
        <xdr:spPr>
          <a:xfrm>
            <a:off x="1457766" y="19211925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FB486FB-5C46-42BE-80CE-71C7841069A2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tx2">
                  <a:lumMod val="75000"/>
                </a:schemeClr>
              </a:solidFill>
            </a:endParaRPr>
          </a:p>
        </xdr:txBody>
      </xdr:sp>
      <xdr:sp macro="" textlink="$B$10">
        <xdr:nvSpPr>
          <xdr:cNvPr id="60" name="Rectángulo 59">
            <a:extLst>
              <a:ext uri="{FF2B5EF4-FFF2-40B4-BE49-F238E27FC236}">
                <a16:creationId xmlns:a16="http://schemas.microsoft.com/office/drawing/2014/main" id="{E390F995-3FC4-478A-906C-99002CE3D4A4}"/>
              </a:ext>
            </a:extLst>
          </xdr:cNvPr>
          <xdr:cNvSpPr/>
        </xdr:nvSpPr>
        <xdr:spPr>
          <a:xfrm>
            <a:off x="983288" y="18079614"/>
            <a:ext cx="1683931" cy="41056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EBEB5C2-500C-4D39-AF89-3FC06277B196}" type="TxLink">
              <a:rPr lang="en-US" sz="1000" b="1" i="0" u="none" strike="noStrike">
                <a:solidFill>
                  <a:srgbClr val="F7697D"/>
                </a:solidFill>
                <a:latin typeface="Arial"/>
                <a:cs typeface="Arial"/>
              </a:rPr>
              <a:pPr algn="ctr"/>
              <a:t> </a:t>
            </a:fld>
            <a:endParaRPr lang="es-ES" sz="1200" b="1">
              <a:solidFill>
                <a:srgbClr val="F7697D"/>
              </a:solidFill>
            </a:endParaRPr>
          </a:p>
        </xdr:txBody>
      </xdr:sp>
    </xdr:grpSp>
    <xdr:clientData/>
  </xdr:twoCellAnchor>
  <xdr:twoCellAnchor>
    <xdr:from>
      <xdr:col>3</xdr:col>
      <xdr:colOff>257175</xdr:colOff>
      <xdr:row>124</xdr:row>
      <xdr:rowOff>85725</xdr:rowOff>
    </xdr:from>
    <xdr:to>
      <xdr:col>6</xdr:col>
      <xdr:colOff>1152525</xdr:colOff>
      <xdr:row>130</xdr:row>
      <xdr:rowOff>171450</xdr:rowOff>
    </xdr:to>
    <xdr:sp macro="" textlink="">
      <xdr:nvSpPr>
        <xdr:cNvPr id="66" name="CuadroTexto 65">
          <a:extLst>
            <a:ext uri="{FF2B5EF4-FFF2-40B4-BE49-F238E27FC236}">
              <a16:creationId xmlns:a16="http://schemas.microsoft.com/office/drawing/2014/main" id="{605F9FBB-9809-4538-AF25-A160FCCDE915}"/>
            </a:ext>
          </a:extLst>
        </xdr:cNvPr>
        <xdr:cNvSpPr txBox="1"/>
      </xdr:nvSpPr>
      <xdr:spPr>
        <a:xfrm>
          <a:off x="3638550" y="21936075"/>
          <a:ext cx="5153025" cy="1228725"/>
        </a:xfrm>
        <a:prstGeom prst="rect">
          <a:avLst/>
        </a:prstGeom>
        <a:solidFill>
          <a:schemeClr val="lt1"/>
        </a:solidFill>
        <a:ln w="9525" cmpd="sng">
          <a:solidFill>
            <a:srgbClr val="F7697D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Analisis:</a:t>
          </a:r>
        </a:p>
      </xdr:txBody>
    </xdr:sp>
    <xdr:clientData/>
  </xdr:twoCellAnchor>
  <xdr:twoCellAnchor>
    <xdr:from>
      <xdr:col>2</xdr:col>
      <xdr:colOff>904875</xdr:colOff>
      <xdr:row>126</xdr:row>
      <xdr:rowOff>57150</xdr:rowOff>
    </xdr:from>
    <xdr:to>
      <xdr:col>2</xdr:col>
      <xdr:colOff>1352550</xdr:colOff>
      <xdr:row>129</xdr:row>
      <xdr:rowOff>133350</xdr:rowOff>
    </xdr:to>
    <xdr:sp macro="" textlink="">
      <xdr:nvSpPr>
        <xdr:cNvPr id="67" name="Flecha: a la derecha 66">
          <a:extLst>
            <a:ext uri="{FF2B5EF4-FFF2-40B4-BE49-F238E27FC236}">
              <a16:creationId xmlns:a16="http://schemas.microsoft.com/office/drawing/2014/main" id="{3332279D-C292-42EC-9A46-B320AD6A1118}"/>
            </a:ext>
          </a:extLst>
        </xdr:cNvPr>
        <xdr:cNvSpPr/>
      </xdr:nvSpPr>
      <xdr:spPr>
        <a:xfrm>
          <a:off x="2886075" y="22288500"/>
          <a:ext cx="447675" cy="647700"/>
        </a:xfrm>
        <a:prstGeom prst="rightArrow">
          <a:avLst/>
        </a:prstGeom>
        <a:solidFill>
          <a:srgbClr val="F7697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266700</xdr:colOff>
      <xdr:row>136</xdr:row>
      <xdr:rowOff>77364</xdr:rowOff>
    </xdr:from>
    <xdr:to>
      <xdr:col>3</xdr:col>
      <xdr:colOff>85723</xdr:colOff>
      <xdr:row>149</xdr:row>
      <xdr:rowOff>10689</xdr:rowOff>
    </xdr:to>
    <xdr:grpSp>
      <xdr:nvGrpSpPr>
        <xdr:cNvPr id="8" name="Grupo 7"/>
        <xdr:cNvGrpSpPr/>
      </xdr:nvGrpSpPr>
      <xdr:grpSpPr>
        <a:xfrm>
          <a:off x="266700" y="26118714"/>
          <a:ext cx="3409948" cy="2409825"/>
          <a:chOff x="314325" y="26118714"/>
          <a:chExt cx="3200398" cy="2409825"/>
        </a:xfrm>
      </xdr:grpSpPr>
      <xdr:sp macro="" textlink="$F$8">
        <xdr:nvSpPr>
          <xdr:cNvPr id="50" name="Rectángulo 49">
            <a:extLst>
              <a:ext uri="{FF2B5EF4-FFF2-40B4-BE49-F238E27FC236}">
                <a16:creationId xmlns:a16="http://schemas.microsoft.com/office/drawing/2014/main" id="{7B72ED96-6208-4713-9C11-61816CC1C2BF}"/>
              </a:ext>
            </a:extLst>
          </xdr:cNvPr>
          <xdr:cNvSpPr/>
        </xdr:nvSpPr>
        <xdr:spPr>
          <a:xfrm>
            <a:off x="1410141" y="26374725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83EC17A-31E3-4D45-8DF5-60F6527687AC}" type="TxLink">
              <a:rPr lang="en-US" sz="105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51" name="Gráfico 50">
            <a:extLst>
              <a:ext uri="{FF2B5EF4-FFF2-40B4-BE49-F238E27FC236}">
                <a16:creationId xmlns:a16="http://schemas.microsoft.com/office/drawing/2014/main" id="{1C02D17D-52F8-4107-9575-35EE3B8F0322}"/>
              </a:ext>
            </a:extLst>
          </xdr:cNvPr>
          <xdr:cNvGraphicFramePr/>
        </xdr:nvGraphicFramePr>
        <xdr:xfrm>
          <a:off x="314325" y="26457875"/>
          <a:ext cx="3200398" cy="20706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$F$11">
        <xdr:nvSpPr>
          <xdr:cNvPr id="52" name="Rectángulo 51">
            <a:extLst>
              <a:ext uri="{FF2B5EF4-FFF2-40B4-BE49-F238E27FC236}">
                <a16:creationId xmlns:a16="http://schemas.microsoft.com/office/drawing/2014/main" id="{A91185ED-EB3E-4AF0-B0F7-8FFDFA009D9F}"/>
              </a:ext>
            </a:extLst>
          </xdr:cNvPr>
          <xdr:cNvSpPr/>
        </xdr:nvSpPr>
        <xdr:spPr>
          <a:xfrm>
            <a:off x="1495866" y="27251025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673E5AC1-A1D0-4F0C-B54D-4B660759C948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tx2">
                  <a:lumMod val="75000"/>
                </a:schemeClr>
              </a:solidFill>
            </a:endParaRPr>
          </a:p>
        </xdr:txBody>
      </xdr:sp>
      <xdr:sp macro="" textlink="$B$11">
        <xdr:nvSpPr>
          <xdr:cNvPr id="53" name="Rectángulo 52">
            <a:extLst>
              <a:ext uri="{FF2B5EF4-FFF2-40B4-BE49-F238E27FC236}">
                <a16:creationId xmlns:a16="http://schemas.microsoft.com/office/drawing/2014/main" id="{E390F995-3FC4-478A-906C-99002CE3D4A4}"/>
              </a:ext>
            </a:extLst>
          </xdr:cNvPr>
          <xdr:cNvSpPr/>
        </xdr:nvSpPr>
        <xdr:spPr>
          <a:xfrm>
            <a:off x="1021388" y="26118714"/>
            <a:ext cx="1683931" cy="41056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873FF94-755C-48C6-B1DF-B5008534873F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</a:t>
            </a:fld>
            <a:endParaRPr lang="es-ES" sz="1200" b="1">
              <a:solidFill>
                <a:srgbClr val="F7697D"/>
              </a:solidFill>
            </a:endParaRPr>
          </a:p>
        </xdr:txBody>
      </xdr:sp>
    </xdr:grpSp>
    <xdr:clientData/>
  </xdr:twoCellAnchor>
  <xdr:twoCellAnchor>
    <xdr:from>
      <xdr:col>0</xdr:col>
      <xdr:colOff>228600</xdr:colOff>
      <xdr:row>152</xdr:row>
      <xdr:rowOff>38100</xdr:rowOff>
    </xdr:from>
    <xdr:to>
      <xdr:col>3</xdr:col>
      <xdr:colOff>47623</xdr:colOff>
      <xdr:row>165</xdr:row>
      <xdr:rowOff>134514</xdr:rowOff>
    </xdr:to>
    <xdr:grpSp>
      <xdr:nvGrpSpPr>
        <xdr:cNvPr id="7" name="Grupo 6"/>
        <xdr:cNvGrpSpPr/>
      </xdr:nvGrpSpPr>
      <xdr:grpSpPr>
        <a:xfrm>
          <a:off x="228600" y="29127450"/>
          <a:ext cx="3409948" cy="2572914"/>
          <a:chOff x="266700" y="29775150"/>
          <a:chExt cx="3200398" cy="2572914"/>
        </a:xfrm>
      </xdr:grpSpPr>
      <xdr:sp macro="" textlink="$F$8">
        <xdr:nvSpPr>
          <xdr:cNvPr id="61" name="Rectángulo 60">
            <a:extLst>
              <a:ext uri="{FF2B5EF4-FFF2-40B4-BE49-F238E27FC236}">
                <a16:creationId xmlns:a16="http://schemas.microsoft.com/office/drawing/2014/main" id="{7B72ED96-6208-4713-9C11-61816CC1C2BF}"/>
              </a:ext>
            </a:extLst>
          </xdr:cNvPr>
          <xdr:cNvSpPr/>
        </xdr:nvSpPr>
        <xdr:spPr>
          <a:xfrm>
            <a:off x="1400616" y="29775150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83EC17A-31E3-4D45-8DF5-60F6527687AC}" type="TxLink">
              <a:rPr lang="en-US" sz="105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62" name="Gráfico 61">
            <a:extLst>
              <a:ext uri="{FF2B5EF4-FFF2-40B4-BE49-F238E27FC236}">
                <a16:creationId xmlns:a16="http://schemas.microsoft.com/office/drawing/2014/main" id="{1C02D17D-52F8-4107-9575-35EE3B8F0322}"/>
              </a:ext>
            </a:extLst>
          </xdr:cNvPr>
          <xdr:cNvGraphicFramePr/>
        </xdr:nvGraphicFramePr>
        <xdr:xfrm>
          <a:off x="266700" y="30277400"/>
          <a:ext cx="3200398" cy="20706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$F$12">
        <xdr:nvSpPr>
          <xdr:cNvPr id="63" name="Rectángulo 62">
            <a:extLst>
              <a:ext uri="{FF2B5EF4-FFF2-40B4-BE49-F238E27FC236}">
                <a16:creationId xmlns:a16="http://schemas.microsoft.com/office/drawing/2014/main" id="{A91185ED-EB3E-4AF0-B0F7-8FFDFA009D9F}"/>
              </a:ext>
            </a:extLst>
          </xdr:cNvPr>
          <xdr:cNvSpPr/>
        </xdr:nvSpPr>
        <xdr:spPr>
          <a:xfrm>
            <a:off x="1448241" y="31070550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4DF1571-2829-4C40-B314-030CFD318408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tx2">
                  <a:lumMod val="75000"/>
                </a:schemeClr>
              </a:solidFill>
            </a:endParaRPr>
          </a:p>
        </xdr:txBody>
      </xdr:sp>
      <xdr:sp macro="" textlink="$B$12">
        <xdr:nvSpPr>
          <xdr:cNvPr id="64" name="Rectángulo 63">
            <a:extLst>
              <a:ext uri="{FF2B5EF4-FFF2-40B4-BE49-F238E27FC236}">
                <a16:creationId xmlns:a16="http://schemas.microsoft.com/office/drawing/2014/main" id="{E390F995-3FC4-478A-906C-99002CE3D4A4}"/>
              </a:ext>
            </a:extLst>
          </xdr:cNvPr>
          <xdr:cNvSpPr/>
        </xdr:nvSpPr>
        <xdr:spPr>
          <a:xfrm>
            <a:off x="973763" y="29938239"/>
            <a:ext cx="1683931" cy="41056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8FA4CA8-F977-4FC8-A703-55B5135D6405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</a:t>
            </a:fld>
            <a:endParaRPr lang="es-ES" sz="1200" b="1">
              <a:solidFill>
                <a:srgbClr val="F7697D"/>
              </a:solidFill>
            </a:endParaRPr>
          </a:p>
        </xdr:txBody>
      </xdr:sp>
    </xdr:grpSp>
    <xdr:clientData/>
  </xdr:twoCellAnchor>
  <xdr:twoCellAnchor>
    <xdr:from>
      <xdr:col>0</xdr:col>
      <xdr:colOff>209550</xdr:colOff>
      <xdr:row>169</xdr:row>
      <xdr:rowOff>76200</xdr:rowOff>
    </xdr:from>
    <xdr:to>
      <xdr:col>3</xdr:col>
      <xdr:colOff>28573</xdr:colOff>
      <xdr:row>182</xdr:row>
      <xdr:rowOff>172614</xdr:rowOff>
    </xdr:to>
    <xdr:grpSp>
      <xdr:nvGrpSpPr>
        <xdr:cNvPr id="9" name="Grupo 8"/>
        <xdr:cNvGrpSpPr/>
      </xdr:nvGrpSpPr>
      <xdr:grpSpPr>
        <a:xfrm>
          <a:off x="209550" y="32404050"/>
          <a:ext cx="3409948" cy="2572914"/>
          <a:chOff x="200025" y="32604075"/>
          <a:chExt cx="3200398" cy="2572914"/>
        </a:xfrm>
      </xdr:grpSpPr>
      <xdr:sp macro="" textlink="$F$8">
        <xdr:nvSpPr>
          <xdr:cNvPr id="68" name="Rectángulo 67">
            <a:extLst>
              <a:ext uri="{FF2B5EF4-FFF2-40B4-BE49-F238E27FC236}">
                <a16:creationId xmlns:a16="http://schemas.microsoft.com/office/drawing/2014/main" id="{7B72ED96-6208-4713-9C11-61816CC1C2BF}"/>
              </a:ext>
            </a:extLst>
          </xdr:cNvPr>
          <xdr:cNvSpPr/>
        </xdr:nvSpPr>
        <xdr:spPr>
          <a:xfrm>
            <a:off x="1333941" y="32604075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83EC17A-31E3-4D45-8DF5-60F6527687AC}" type="TxLink">
              <a:rPr lang="en-US" sz="105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69" name="Gráfico 68">
            <a:extLst>
              <a:ext uri="{FF2B5EF4-FFF2-40B4-BE49-F238E27FC236}">
                <a16:creationId xmlns:a16="http://schemas.microsoft.com/office/drawing/2014/main" id="{1C02D17D-52F8-4107-9575-35EE3B8F0322}"/>
              </a:ext>
            </a:extLst>
          </xdr:cNvPr>
          <xdr:cNvGraphicFramePr/>
        </xdr:nvGraphicFramePr>
        <xdr:xfrm>
          <a:off x="200025" y="33106325"/>
          <a:ext cx="3200398" cy="20706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$F$13">
        <xdr:nvSpPr>
          <xdr:cNvPr id="70" name="Rectángulo 69">
            <a:extLst>
              <a:ext uri="{FF2B5EF4-FFF2-40B4-BE49-F238E27FC236}">
                <a16:creationId xmlns:a16="http://schemas.microsoft.com/office/drawing/2014/main" id="{A91185ED-EB3E-4AF0-B0F7-8FFDFA009D9F}"/>
              </a:ext>
            </a:extLst>
          </xdr:cNvPr>
          <xdr:cNvSpPr/>
        </xdr:nvSpPr>
        <xdr:spPr>
          <a:xfrm>
            <a:off x="1381566" y="33899475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B6231CA-81C0-488B-9DDD-E2E2C6AD45D1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tx2">
                  <a:lumMod val="75000"/>
                </a:schemeClr>
              </a:solidFill>
            </a:endParaRPr>
          </a:p>
        </xdr:txBody>
      </xdr:sp>
      <xdr:sp macro="" textlink="$B$13">
        <xdr:nvSpPr>
          <xdr:cNvPr id="71" name="Rectángulo 70">
            <a:extLst>
              <a:ext uri="{FF2B5EF4-FFF2-40B4-BE49-F238E27FC236}">
                <a16:creationId xmlns:a16="http://schemas.microsoft.com/office/drawing/2014/main" id="{E390F995-3FC4-478A-906C-99002CE3D4A4}"/>
              </a:ext>
            </a:extLst>
          </xdr:cNvPr>
          <xdr:cNvSpPr/>
        </xdr:nvSpPr>
        <xdr:spPr>
          <a:xfrm>
            <a:off x="907088" y="32767164"/>
            <a:ext cx="1683931" cy="41056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2A56B62-CDEA-43B2-9DC3-C4FADA06C339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</a:t>
            </a:fld>
            <a:endParaRPr lang="es-ES" sz="1200" b="1">
              <a:solidFill>
                <a:srgbClr val="F7697D"/>
              </a:solidFill>
            </a:endParaRPr>
          </a:p>
        </xdr:txBody>
      </xdr:sp>
    </xdr:grpSp>
    <xdr:clientData/>
  </xdr:twoCellAnchor>
  <xdr:twoCellAnchor>
    <xdr:from>
      <xdr:col>0</xdr:col>
      <xdr:colOff>209550</xdr:colOff>
      <xdr:row>186</xdr:row>
      <xdr:rowOff>104775</xdr:rowOff>
    </xdr:from>
    <xdr:to>
      <xdr:col>3</xdr:col>
      <xdr:colOff>28573</xdr:colOff>
      <xdr:row>200</xdr:row>
      <xdr:rowOff>10689</xdr:rowOff>
    </xdr:to>
    <xdr:grpSp>
      <xdr:nvGrpSpPr>
        <xdr:cNvPr id="10" name="Grupo 9"/>
        <xdr:cNvGrpSpPr/>
      </xdr:nvGrpSpPr>
      <xdr:grpSpPr>
        <a:xfrm>
          <a:off x="209550" y="35671125"/>
          <a:ext cx="3409948" cy="2572914"/>
          <a:chOff x="247650" y="36404550"/>
          <a:chExt cx="3200398" cy="2572914"/>
        </a:xfrm>
      </xdr:grpSpPr>
      <xdr:sp macro="" textlink="$F$8">
        <xdr:nvSpPr>
          <xdr:cNvPr id="128" name="Rectángulo 127">
            <a:extLst>
              <a:ext uri="{FF2B5EF4-FFF2-40B4-BE49-F238E27FC236}">
                <a16:creationId xmlns:a16="http://schemas.microsoft.com/office/drawing/2014/main" id="{7B72ED96-6208-4713-9C11-61816CC1C2BF}"/>
              </a:ext>
            </a:extLst>
          </xdr:cNvPr>
          <xdr:cNvSpPr/>
        </xdr:nvSpPr>
        <xdr:spPr>
          <a:xfrm>
            <a:off x="1381566" y="36404550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83EC17A-31E3-4D45-8DF5-60F6527687AC}" type="TxLink">
              <a:rPr lang="en-US" sz="105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29" name="Gráfico 128">
            <a:extLst>
              <a:ext uri="{FF2B5EF4-FFF2-40B4-BE49-F238E27FC236}">
                <a16:creationId xmlns:a16="http://schemas.microsoft.com/office/drawing/2014/main" id="{1C02D17D-52F8-4107-9575-35EE3B8F0322}"/>
              </a:ext>
            </a:extLst>
          </xdr:cNvPr>
          <xdr:cNvGraphicFramePr/>
        </xdr:nvGraphicFramePr>
        <xdr:xfrm>
          <a:off x="247650" y="36906800"/>
          <a:ext cx="3200398" cy="20706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$F$14">
        <xdr:nvSpPr>
          <xdr:cNvPr id="130" name="Rectángulo 129">
            <a:extLst>
              <a:ext uri="{FF2B5EF4-FFF2-40B4-BE49-F238E27FC236}">
                <a16:creationId xmlns:a16="http://schemas.microsoft.com/office/drawing/2014/main" id="{A91185ED-EB3E-4AF0-B0F7-8FFDFA009D9F}"/>
              </a:ext>
            </a:extLst>
          </xdr:cNvPr>
          <xdr:cNvSpPr/>
        </xdr:nvSpPr>
        <xdr:spPr>
          <a:xfrm>
            <a:off x="1429191" y="37699950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29E8F03-5CE6-4DBA-923E-B2497BD184DD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tx2">
                  <a:lumMod val="75000"/>
                </a:schemeClr>
              </a:solidFill>
            </a:endParaRPr>
          </a:p>
        </xdr:txBody>
      </xdr:sp>
      <xdr:sp macro="" textlink="$B$14">
        <xdr:nvSpPr>
          <xdr:cNvPr id="131" name="Rectángulo 130">
            <a:extLst>
              <a:ext uri="{FF2B5EF4-FFF2-40B4-BE49-F238E27FC236}">
                <a16:creationId xmlns:a16="http://schemas.microsoft.com/office/drawing/2014/main" id="{E390F995-3FC4-478A-906C-99002CE3D4A4}"/>
              </a:ext>
            </a:extLst>
          </xdr:cNvPr>
          <xdr:cNvSpPr/>
        </xdr:nvSpPr>
        <xdr:spPr>
          <a:xfrm>
            <a:off x="954713" y="36567639"/>
            <a:ext cx="1683931" cy="41056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A456080-01CE-4B8B-8104-93588A3641FD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</a:t>
            </a:fld>
            <a:endParaRPr lang="es-ES" sz="1200" b="1">
              <a:solidFill>
                <a:srgbClr val="F7697D"/>
              </a:solidFill>
            </a:endParaRPr>
          </a:p>
        </xdr:txBody>
      </xdr:sp>
    </xdr:grpSp>
    <xdr:clientData/>
  </xdr:twoCellAnchor>
  <xdr:twoCellAnchor>
    <xdr:from>
      <xdr:col>0</xdr:col>
      <xdr:colOff>209550</xdr:colOff>
      <xdr:row>202</xdr:row>
      <xdr:rowOff>123825</xdr:rowOff>
    </xdr:from>
    <xdr:to>
      <xdr:col>3</xdr:col>
      <xdr:colOff>28573</xdr:colOff>
      <xdr:row>216</xdr:row>
      <xdr:rowOff>29739</xdr:rowOff>
    </xdr:to>
    <xdr:grpSp>
      <xdr:nvGrpSpPr>
        <xdr:cNvPr id="14" name="Grupo 13"/>
        <xdr:cNvGrpSpPr/>
      </xdr:nvGrpSpPr>
      <xdr:grpSpPr>
        <a:xfrm>
          <a:off x="209550" y="38738175"/>
          <a:ext cx="3409948" cy="2572914"/>
          <a:chOff x="285750" y="40128825"/>
          <a:chExt cx="3200398" cy="2572914"/>
        </a:xfrm>
      </xdr:grpSpPr>
      <xdr:sp macro="" textlink="$F$8">
        <xdr:nvSpPr>
          <xdr:cNvPr id="133" name="Rectángulo 132">
            <a:extLst>
              <a:ext uri="{FF2B5EF4-FFF2-40B4-BE49-F238E27FC236}">
                <a16:creationId xmlns:a16="http://schemas.microsoft.com/office/drawing/2014/main" id="{7B72ED96-6208-4713-9C11-61816CC1C2BF}"/>
              </a:ext>
            </a:extLst>
          </xdr:cNvPr>
          <xdr:cNvSpPr/>
        </xdr:nvSpPr>
        <xdr:spPr>
          <a:xfrm>
            <a:off x="1419666" y="40128825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83EC17A-31E3-4D45-8DF5-60F6527687AC}" type="TxLink">
              <a:rPr lang="en-US" sz="105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34" name="Gráfico 133">
            <a:extLst>
              <a:ext uri="{FF2B5EF4-FFF2-40B4-BE49-F238E27FC236}">
                <a16:creationId xmlns:a16="http://schemas.microsoft.com/office/drawing/2014/main" id="{1C02D17D-52F8-4107-9575-35EE3B8F0322}"/>
              </a:ext>
            </a:extLst>
          </xdr:cNvPr>
          <xdr:cNvGraphicFramePr/>
        </xdr:nvGraphicFramePr>
        <xdr:xfrm>
          <a:off x="285750" y="40631075"/>
          <a:ext cx="3200398" cy="20706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F$15">
        <xdr:nvSpPr>
          <xdr:cNvPr id="135" name="Rectángulo 134">
            <a:extLst>
              <a:ext uri="{FF2B5EF4-FFF2-40B4-BE49-F238E27FC236}">
                <a16:creationId xmlns:a16="http://schemas.microsoft.com/office/drawing/2014/main" id="{A91185ED-EB3E-4AF0-B0F7-8FFDFA009D9F}"/>
              </a:ext>
            </a:extLst>
          </xdr:cNvPr>
          <xdr:cNvSpPr/>
        </xdr:nvSpPr>
        <xdr:spPr>
          <a:xfrm>
            <a:off x="1467291" y="41424225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62355D9-5C30-4AF4-B604-0F3A20A38597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tx2">
                  <a:lumMod val="75000"/>
                </a:schemeClr>
              </a:solidFill>
            </a:endParaRPr>
          </a:p>
        </xdr:txBody>
      </xdr:sp>
      <xdr:sp macro="" textlink="$B$15">
        <xdr:nvSpPr>
          <xdr:cNvPr id="136" name="Rectángulo 135">
            <a:extLst>
              <a:ext uri="{FF2B5EF4-FFF2-40B4-BE49-F238E27FC236}">
                <a16:creationId xmlns:a16="http://schemas.microsoft.com/office/drawing/2014/main" id="{E390F995-3FC4-478A-906C-99002CE3D4A4}"/>
              </a:ext>
            </a:extLst>
          </xdr:cNvPr>
          <xdr:cNvSpPr/>
        </xdr:nvSpPr>
        <xdr:spPr>
          <a:xfrm>
            <a:off x="992813" y="40291914"/>
            <a:ext cx="1683931" cy="41056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61440F7-58DE-4F0F-9662-FA2ECAE2D661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</a:t>
            </a:fld>
            <a:endParaRPr lang="es-ES" sz="1200" b="1">
              <a:solidFill>
                <a:srgbClr val="F7697D"/>
              </a:solidFill>
            </a:endParaRPr>
          </a:p>
        </xdr:txBody>
      </xdr:sp>
    </xdr:grpSp>
    <xdr:clientData/>
  </xdr:twoCellAnchor>
  <xdr:twoCellAnchor>
    <xdr:from>
      <xdr:col>0</xdr:col>
      <xdr:colOff>180975</xdr:colOff>
      <xdr:row>219</xdr:row>
      <xdr:rowOff>123825</xdr:rowOff>
    </xdr:from>
    <xdr:to>
      <xdr:col>2</xdr:col>
      <xdr:colOff>1400173</xdr:colOff>
      <xdr:row>233</xdr:row>
      <xdr:rowOff>29739</xdr:rowOff>
    </xdr:to>
    <xdr:grpSp>
      <xdr:nvGrpSpPr>
        <xdr:cNvPr id="18" name="Grupo 17"/>
        <xdr:cNvGrpSpPr/>
      </xdr:nvGrpSpPr>
      <xdr:grpSpPr>
        <a:xfrm>
          <a:off x="180975" y="41976675"/>
          <a:ext cx="3200398" cy="2572914"/>
          <a:chOff x="190500" y="42205275"/>
          <a:chExt cx="3200398" cy="2572914"/>
        </a:xfrm>
      </xdr:grpSpPr>
      <xdr:sp macro="" textlink="$F$8">
        <xdr:nvSpPr>
          <xdr:cNvPr id="138" name="Rectángulo 137">
            <a:extLst>
              <a:ext uri="{FF2B5EF4-FFF2-40B4-BE49-F238E27FC236}">
                <a16:creationId xmlns:a16="http://schemas.microsoft.com/office/drawing/2014/main" id="{7B72ED96-6208-4713-9C11-61816CC1C2BF}"/>
              </a:ext>
            </a:extLst>
          </xdr:cNvPr>
          <xdr:cNvSpPr/>
        </xdr:nvSpPr>
        <xdr:spPr>
          <a:xfrm>
            <a:off x="1324416" y="42205275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83EC17A-31E3-4D45-8DF5-60F6527687AC}" type="TxLink">
              <a:rPr lang="en-US" sz="105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39" name="Gráfico 138">
            <a:extLst>
              <a:ext uri="{FF2B5EF4-FFF2-40B4-BE49-F238E27FC236}">
                <a16:creationId xmlns:a16="http://schemas.microsoft.com/office/drawing/2014/main" id="{1C02D17D-52F8-4107-9575-35EE3B8F0322}"/>
              </a:ext>
            </a:extLst>
          </xdr:cNvPr>
          <xdr:cNvGraphicFramePr/>
        </xdr:nvGraphicFramePr>
        <xdr:xfrm>
          <a:off x="190500" y="42707525"/>
          <a:ext cx="3200398" cy="20706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sp macro="" textlink="$F$16">
        <xdr:nvSpPr>
          <xdr:cNvPr id="140" name="Rectángulo 139">
            <a:extLst>
              <a:ext uri="{FF2B5EF4-FFF2-40B4-BE49-F238E27FC236}">
                <a16:creationId xmlns:a16="http://schemas.microsoft.com/office/drawing/2014/main" id="{A91185ED-EB3E-4AF0-B0F7-8FFDFA009D9F}"/>
              </a:ext>
            </a:extLst>
          </xdr:cNvPr>
          <xdr:cNvSpPr/>
        </xdr:nvSpPr>
        <xdr:spPr>
          <a:xfrm>
            <a:off x="1372041" y="43500675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B850EC6-2D36-4733-A7A2-E34393A80F2C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tx2">
                  <a:lumMod val="75000"/>
                </a:schemeClr>
              </a:solidFill>
            </a:endParaRPr>
          </a:p>
        </xdr:txBody>
      </xdr:sp>
      <xdr:sp macro="" textlink="$B$16">
        <xdr:nvSpPr>
          <xdr:cNvPr id="141" name="Rectángulo 140">
            <a:extLst>
              <a:ext uri="{FF2B5EF4-FFF2-40B4-BE49-F238E27FC236}">
                <a16:creationId xmlns:a16="http://schemas.microsoft.com/office/drawing/2014/main" id="{E390F995-3FC4-478A-906C-99002CE3D4A4}"/>
              </a:ext>
            </a:extLst>
          </xdr:cNvPr>
          <xdr:cNvSpPr/>
        </xdr:nvSpPr>
        <xdr:spPr>
          <a:xfrm>
            <a:off x="897563" y="42368364"/>
            <a:ext cx="1683931" cy="41056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6466F153-1437-426A-83D0-343FBA15765F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</a:t>
            </a:fld>
            <a:endParaRPr lang="es-ES" sz="1200" b="1">
              <a:solidFill>
                <a:srgbClr val="F7697D"/>
              </a:solidFill>
            </a:endParaRPr>
          </a:p>
        </xdr:txBody>
      </xdr:sp>
    </xdr:grpSp>
    <xdr:clientData/>
  </xdr:twoCellAnchor>
  <xdr:twoCellAnchor>
    <xdr:from>
      <xdr:col>0</xdr:col>
      <xdr:colOff>190500</xdr:colOff>
      <xdr:row>236</xdr:row>
      <xdr:rowOff>180975</xdr:rowOff>
    </xdr:from>
    <xdr:to>
      <xdr:col>3</xdr:col>
      <xdr:colOff>9523</xdr:colOff>
      <xdr:row>250</xdr:row>
      <xdr:rowOff>86889</xdr:rowOff>
    </xdr:to>
    <xdr:grpSp>
      <xdr:nvGrpSpPr>
        <xdr:cNvPr id="22" name="Grupo 21"/>
        <xdr:cNvGrpSpPr/>
      </xdr:nvGrpSpPr>
      <xdr:grpSpPr>
        <a:xfrm>
          <a:off x="190500" y="45272325"/>
          <a:ext cx="3409948" cy="2572914"/>
          <a:chOff x="190500" y="46405800"/>
          <a:chExt cx="3200398" cy="2572914"/>
        </a:xfrm>
      </xdr:grpSpPr>
      <xdr:sp macro="" textlink="$F$8">
        <xdr:nvSpPr>
          <xdr:cNvPr id="143" name="Rectángulo 142">
            <a:extLst>
              <a:ext uri="{FF2B5EF4-FFF2-40B4-BE49-F238E27FC236}">
                <a16:creationId xmlns:a16="http://schemas.microsoft.com/office/drawing/2014/main" id="{7B72ED96-6208-4713-9C11-61816CC1C2BF}"/>
              </a:ext>
            </a:extLst>
          </xdr:cNvPr>
          <xdr:cNvSpPr/>
        </xdr:nvSpPr>
        <xdr:spPr>
          <a:xfrm>
            <a:off x="1324416" y="46405800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83EC17A-31E3-4D45-8DF5-60F6527687AC}" type="TxLink">
              <a:rPr lang="en-US" sz="105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44" name="Gráfico 143">
            <a:extLst>
              <a:ext uri="{FF2B5EF4-FFF2-40B4-BE49-F238E27FC236}">
                <a16:creationId xmlns:a16="http://schemas.microsoft.com/office/drawing/2014/main" id="{1C02D17D-52F8-4107-9575-35EE3B8F0322}"/>
              </a:ext>
            </a:extLst>
          </xdr:cNvPr>
          <xdr:cNvGraphicFramePr/>
        </xdr:nvGraphicFramePr>
        <xdr:xfrm>
          <a:off x="190500" y="46908050"/>
          <a:ext cx="3200398" cy="20706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$F$17">
        <xdr:nvSpPr>
          <xdr:cNvPr id="145" name="Rectángulo 144">
            <a:extLst>
              <a:ext uri="{FF2B5EF4-FFF2-40B4-BE49-F238E27FC236}">
                <a16:creationId xmlns:a16="http://schemas.microsoft.com/office/drawing/2014/main" id="{A91185ED-EB3E-4AF0-B0F7-8FFDFA009D9F}"/>
              </a:ext>
            </a:extLst>
          </xdr:cNvPr>
          <xdr:cNvSpPr/>
        </xdr:nvSpPr>
        <xdr:spPr>
          <a:xfrm>
            <a:off x="1372041" y="47701200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848AFFD-8A1C-4ADB-AE0E-784F0D467377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tx2">
                  <a:lumMod val="75000"/>
                </a:schemeClr>
              </a:solidFill>
            </a:endParaRPr>
          </a:p>
        </xdr:txBody>
      </xdr:sp>
      <xdr:sp macro="" textlink="$B$17">
        <xdr:nvSpPr>
          <xdr:cNvPr id="146" name="Rectángulo 145">
            <a:extLst>
              <a:ext uri="{FF2B5EF4-FFF2-40B4-BE49-F238E27FC236}">
                <a16:creationId xmlns:a16="http://schemas.microsoft.com/office/drawing/2014/main" id="{E390F995-3FC4-478A-906C-99002CE3D4A4}"/>
              </a:ext>
            </a:extLst>
          </xdr:cNvPr>
          <xdr:cNvSpPr/>
        </xdr:nvSpPr>
        <xdr:spPr>
          <a:xfrm>
            <a:off x="897563" y="46568889"/>
            <a:ext cx="1683931" cy="41056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8153CC3-E5D9-4ADE-9D83-0A05E1C91925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</a:t>
            </a:fld>
            <a:endParaRPr lang="es-ES" sz="1200" b="1">
              <a:solidFill>
                <a:srgbClr val="F7697D"/>
              </a:solidFill>
            </a:endParaRPr>
          </a:p>
        </xdr:txBody>
      </xdr:sp>
    </xdr:grpSp>
    <xdr:clientData/>
  </xdr:twoCellAnchor>
  <xdr:twoCellAnchor>
    <xdr:from>
      <xdr:col>0</xdr:col>
      <xdr:colOff>200025</xdr:colOff>
      <xdr:row>254</xdr:row>
      <xdr:rowOff>0</xdr:rowOff>
    </xdr:from>
    <xdr:to>
      <xdr:col>3</xdr:col>
      <xdr:colOff>19048</xdr:colOff>
      <xdr:row>267</xdr:row>
      <xdr:rowOff>96414</xdr:rowOff>
    </xdr:to>
    <xdr:grpSp>
      <xdr:nvGrpSpPr>
        <xdr:cNvPr id="42" name="Grupo 41"/>
        <xdr:cNvGrpSpPr/>
      </xdr:nvGrpSpPr>
      <xdr:grpSpPr>
        <a:xfrm>
          <a:off x="200025" y="48520350"/>
          <a:ext cx="3409948" cy="2572914"/>
          <a:chOff x="257175" y="48844200"/>
          <a:chExt cx="3200398" cy="2572914"/>
        </a:xfrm>
      </xdr:grpSpPr>
      <xdr:sp macro="" textlink="$F$8">
        <xdr:nvSpPr>
          <xdr:cNvPr id="148" name="Rectángulo 147">
            <a:extLst>
              <a:ext uri="{FF2B5EF4-FFF2-40B4-BE49-F238E27FC236}">
                <a16:creationId xmlns:a16="http://schemas.microsoft.com/office/drawing/2014/main" id="{7B72ED96-6208-4713-9C11-61816CC1C2BF}"/>
              </a:ext>
            </a:extLst>
          </xdr:cNvPr>
          <xdr:cNvSpPr/>
        </xdr:nvSpPr>
        <xdr:spPr>
          <a:xfrm>
            <a:off x="1391091" y="48844200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83EC17A-31E3-4D45-8DF5-60F6527687AC}" type="TxLink">
              <a:rPr lang="en-US" sz="105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49" name="Gráfico 148">
            <a:extLst>
              <a:ext uri="{FF2B5EF4-FFF2-40B4-BE49-F238E27FC236}">
                <a16:creationId xmlns:a16="http://schemas.microsoft.com/office/drawing/2014/main" id="{1C02D17D-52F8-4107-9575-35EE3B8F0322}"/>
              </a:ext>
            </a:extLst>
          </xdr:cNvPr>
          <xdr:cNvGraphicFramePr/>
        </xdr:nvGraphicFramePr>
        <xdr:xfrm>
          <a:off x="257175" y="49346450"/>
          <a:ext cx="3200398" cy="20706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$F$18">
        <xdr:nvSpPr>
          <xdr:cNvPr id="150" name="Rectángulo 149">
            <a:extLst>
              <a:ext uri="{FF2B5EF4-FFF2-40B4-BE49-F238E27FC236}">
                <a16:creationId xmlns:a16="http://schemas.microsoft.com/office/drawing/2014/main" id="{A91185ED-EB3E-4AF0-B0F7-8FFDFA009D9F}"/>
              </a:ext>
            </a:extLst>
          </xdr:cNvPr>
          <xdr:cNvSpPr/>
        </xdr:nvSpPr>
        <xdr:spPr>
          <a:xfrm>
            <a:off x="1438716" y="50139600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20AC577-AD49-4318-93B3-BAD319018653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tx2">
                  <a:lumMod val="75000"/>
                </a:schemeClr>
              </a:solidFill>
            </a:endParaRPr>
          </a:p>
        </xdr:txBody>
      </xdr:sp>
      <xdr:sp macro="" textlink="$B$18">
        <xdr:nvSpPr>
          <xdr:cNvPr id="151" name="Rectángulo 150">
            <a:extLst>
              <a:ext uri="{FF2B5EF4-FFF2-40B4-BE49-F238E27FC236}">
                <a16:creationId xmlns:a16="http://schemas.microsoft.com/office/drawing/2014/main" id="{E390F995-3FC4-478A-906C-99002CE3D4A4}"/>
              </a:ext>
            </a:extLst>
          </xdr:cNvPr>
          <xdr:cNvSpPr/>
        </xdr:nvSpPr>
        <xdr:spPr>
          <a:xfrm>
            <a:off x="964238" y="49007289"/>
            <a:ext cx="1683931" cy="41056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4860118-D881-400C-9529-D3459C59FDDE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</a:t>
            </a:fld>
            <a:endParaRPr lang="es-ES" sz="1200" b="1">
              <a:solidFill>
                <a:srgbClr val="F7697D"/>
              </a:solidFill>
            </a:endParaRPr>
          </a:p>
        </xdr:txBody>
      </xdr:sp>
    </xdr:grpSp>
    <xdr:clientData/>
  </xdr:twoCellAnchor>
  <xdr:twoCellAnchor>
    <xdr:from>
      <xdr:col>0</xdr:col>
      <xdr:colOff>209550</xdr:colOff>
      <xdr:row>270</xdr:row>
      <xdr:rowOff>85725</xdr:rowOff>
    </xdr:from>
    <xdr:to>
      <xdr:col>3</xdr:col>
      <xdr:colOff>28573</xdr:colOff>
      <xdr:row>283</xdr:row>
      <xdr:rowOff>182139</xdr:rowOff>
    </xdr:to>
    <xdr:grpSp>
      <xdr:nvGrpSpPr>
        <xdr:cNvPr id="43" name="Grupo 42"/>
        <xdr:cNvGrpSpPr/>
      </xdr:nvGrpSpPr>
      <xdr:grpSpPr>
        <a:xfrm>
          <a:off x="209550" y="51654075"/>
          <a:ext cx="3409948" cy="2572914"/>
          <a:chOff x="333375" y="52235100"/>
          <a:chExt cx="3200398" cy="2572914"/>
        </a:xfrm>
      </xdr:grpSpPr>
      <xdr:sp macro="" textlink="$F$8">
        <xdr:nvSpPr>
          <xdr:cNvPr id="153" name="Rectángulo 152">
            <a:extLst>
              <a:ext uri="{FF2B5EF4-FFF2-40B4-BE49-F238E27FC236}">
                <a16:creationId xmlns:a16="http://schemas.microsoft.com/office/drawing/2014/main" id="{7B72ED96-6208-4713-9C11-61816CC1C2BF}"/>
              </a:ext>
            </a:extLst>
          </xdr:cNvPr>
          <xdr:cNvSpPr/>
        </xdr:nvSpPr>
        <xdr:spPr>
          <a:xfrm>
            <a:off x="1467291" y="52235100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83EC17A-31E3-4D45-8DF5-60F6527687AC}" type="TxLink">
              <a:rPr lang="en-US" sz="105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54" name="Gráfico 153">
            <a:extLst>
              <a:ext uri="{FF2B5EF4-FFF2-40B4-BE49-F238E27FC236}">
                <a16:creationId xmlns:a16="http://schemas.microsoft.com/office/drawing/2014/main" id="{1C02D17D-52F8-4107-9575-35EE3B8F0322}"/>
              </a:ext>
            </a:extLst>
          </xdr:cNvPr>
          <xdr:cNvGraphicFramePr/>
        </xdr:nvGraphicFramePr>
        <xdr:xfrm>
          <a:off x="333375" y="52737350"/>
          <a:ext cx="3200398" cy="20706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$F$19">
        <xdr:nvSpPr>
          <xdr:cNvPr id="155" name="Rectángulo 154">
            <a:extLst>
              <a:ext uri="{FF2B5EF4-FFF2-40B4-BE49-F238E27FC236}">
                <a16:creationId xmlns:a16="http://schemas.microsoft.com/office/drawing/2014/main" id="{A91185ED-EB3E-4AF0-B0F7-8FFDFA009D9F}"/>
              </a:ext>
            </a:extLst>
          </xdr:cNvPr>
          <xdr:cNvSpPr/>
        </xdr:nvSpPr>
        <xdr:spPr>
          <a:xfrm>
            <a:off x="1514916" y="53530500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0E9FAEF-EF12-40B5-9939-D69242230A6D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tx2">
                  <a:lumMod val="75000"/>
                </a:schemeClr>
              </a:solidFill>
            </a:endParaRPr>
          </a:p>
        </xdr:txBody>
      </xdr:sp>
      <xdr:sp macro="" textlink="$B$19">
        <xdr:nvSpPr>
          <xdr:cNvPr id="156" name="Rectángulo 155">
            <a:extLst>
              <a:ext uri="{FF2B5EF4-FFF2-40B4-BE49-F238E27FC236}">
                <a16:creationId xmlns:a16="http://schemas.microsoft.com/office/drawing/2014/main" id="{E390F995-3FC4-478A-906C-99002CE3D4A4}"/>
              </a:ext>
            </a:extLst>
          </xdr:cNvPr>
          <xdr:cNvSpPr/>
        </xdr:nvSpPr>
        <xdr:spPr>
          <a:xfrm>
            <a:off x="1040438" y="52398189"/>
            <a:ext cx="1683931" cy="41056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EE8D056-A686-4073-99F4-0547AB7247E6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</a:t>
            </a:fld>
            <a:endParaRPr lang="es-ES" sz="1200" b="1">
              <a:solidFill>
                <a:srgbClr val="F7697D"/>
              </a:solidFill>
            </a:endParaRPr>
          </a:p>
        </xdr:txBody>
      </xdr:sp>
    </xdr:grpSp>
    <xdr:clientData/>
  </xdr:twoCellAnchor>
  <xdr:twoCellAnchor>
    <xdr:from>
      <xdr:col>0</xdr:col>
      <xdr:colOff>238125</xdr:colOff>
      <xdr:row>288</xdr:row>
      <xdr:rowOff>28575</xdr:rowOff>
    </xdr:from>
    <xdr:to>
      <xdr:col>3</xdr:col>
      <xdr:colOff>57148</xdr:colOff>
      <xdr:row>301</xdr:row>
      <xdr:rowOff>124989</xdr:rowOff>
    </xdr:to>
    <xdr:grpSp>
      <xdr:nvGrpSpPr>
        <xdr:cNvPr id="45" name="Grupo 44"/>
        <xdr:cNvGrpSpPr/>
      </xdr:nvGrpSpPr>
      <xdr:grpSpPr>
        <a:xfrm>
          <a:off x="238125" y="55025925"/>
          <a:ext cx="3409948" cy="2572914"/>
          <a:chOff x="219075" y="55587900"/>
          <a:chExt cx="3200398" cy="2572914"/>
        </a:xfrm>
      </xdr:grpSpPr>
      <xdr:sp macro="" textlink="$F$8">
        <xdr:nvSpPr>
          <xdr:cNvPr id="158" name="Rectángulo 157">
            <a:extLst>
              <a:ext uri="{FF2B5EF4-FFF2-40B4-BE49-F238E27FC236}">
                <a16:creationId xmlns:a16="http://schemas.microsoft.com/office/drawing/2014/main" id="{7B72ED96-6208-4713-9C11-61816CC1C2BF}"/>
              </a:ext>
            </a:extLst>
          </xdr:cNvPr>
          <xdr:cNvSpPr/>
        </xdr:nvSpPr>
        <xdr:spPr>
          <a:xfrm>
            <a:off x="1352991" y="55587900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83EC17A-31E3-4D45-8DF5-60F6527687AC}" type="TxLink">
              <a:rPr lang="en-US" sz="105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59" name="Gráfico 158">
            <a:extLst>
              <a:ext uri="{FF2B5EF4-FFF2-40B4-BE49-F238E27FC236}">
                <a16:creationId xmlns:a16="http://schemas.microsoft.com/office/drawing/2014/main" id="{1C02D17D-52F8-4107-9575-35EE3B8F0322}"/>
              </a:ext>
            </a:extLst>
          </xdr:cNvPr>
          <xdr:cNvGraphicFramePr/>
        </xdr:nvGraphicFramePr>
        <xdr:xfrm>
          <a:off x="219075" y="56090150"/>
          <a:ext cx="3200398" cy="20706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$F$20">
        <xdr:nvSpPr>
          <xdr:cNvPr id="160" name="Rectángulo 159">
            <a:extLst>
              <a:ext uri="{FF2B5EF4-FFF2-40B4-BE49-F238E27FC236}">
                <a16:creationId xmlns:a16="http://schemas.microsoft.com/office/drawing/2014/main" id="{A91185ED-EB3E-4AF0-B0F7-8FFDFA009D9F}"/>
              </a:ext>
            </a:extLst>
          </xdr:cNvPr>
          <xdr:cNvSpPr/>
        </xdr:nvSpPr>
        <xdr:spPr>
          <a:xfrm>
            <a:off x="1400616" y="56883300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F39CEB9-499C-4D62-84D7-E2C12D4CAE4F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tx2">
                  <a:lumMod val="75000"/>
                </a:schemeClr>
              </a:solidFill>
            </a:endParaRPr>
          </a:p>
        </xdr:txBody>
      </xdr:sp>
      <xdr:sp macro="" textlink="$B$20">
        <xdr:nvSpPr>
          <xdr:cNvPr id="161" name="Rectángulo 160">
            <a:extLst>
              <a:ext uri="{FF2B5EF4-FFF2-40B4-BE49-F238E27FC236}">
                <a16:creationId xmlns:a16="http://schemas.microsoft.com/office/drawing/2014/main" id="{E390F995-3FC4-478A-906C-99002CE3D4A4}"/>
              </a:ext>
            </a:extLst>
          </xdr:cNvPr>
          <xdr:cNvSpPr/>
        </xdr:nvSpPr>
        <xdr:spPr>
          <a:xfrm>
            <a:off x="926138" y="55750989"/>
            <a:ext cx="1683931" cy="41056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6036A76-3298-4825-B3BC-5560859110CB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</a:t>
            </a:fld>
            <a:endParaRPr lang="es-ES" sz="1200" b="1">
              <a:solidFill>
                <a:srgbClr val="F7697D"/>
              </a:solidFill>
            </a:endParaRPr>
          </a:p>
        </xdr:txBody>
      </xdr:sp>
    </xdr:grpSp>
    <xdr:clientData/>
  </xdr:twoCellAnchor>
  <xdr:twoCellAnchor>
    <xdr:from>
      <xdr:col>0</xdr:col>
      <xdr:colOff>257175</xdr:colOff>
      <xdr:row>305</xdr:row>
      <xdr:rowOff>161925</xdr:rowOff>
    </xdr:from>
    <xdr:to>
      <xdr:col>3</xdr:col>
      <xdr:colOff>76198</xdr:colOff>
      <xdr:row>319</xdr:row>
      <xdr:rowOff>67839</xdr:rowOff>
    </xdr:to>
    <xdr:grpSp>
      <xdr:nvGrpSpPr>
        <xdr:cNvPr id="172" name="Grupo 171"/>
        <xdr:cNvGrpSpPr/>
      </xdr:nvGrpSpPr>
      <xdr:grpSpPr>
        <a:xfrm>
          <a:off x="257175" y="58397775"/>
          <a:ext cx="3409948" cy="2572914"/>
          <a:chOff x="352425" y="59912250"/>
          <a:chExt cx="3200398" cy="2572914"/>
        </a:xfrm>
      </xdr:grpSpPr>
      <xdr:sp macro="" textlink="$F$8">
        <xdr:nvSpPr>
          <xdr:cNvPr id="163" name="Rectángulo 162">
            <a:extLst>
              <a:ext uri="{FF2B5EF4-FFF2-40B4-BE49-F238E27FC236}">
                <a16:creationId xmlns:a16="http://schemas.microsoft.com/office/drawing/2014/main" id="{7B72ED96-6208-4713-9C11-61816CC1C2BF}"/>
              </a:ext>
            </a:extLst>
          </xdr:cNvPr>
          <xdr:cNvSpPr/>
        </xdr:nvSpPr>
        <xdr:spPr>
          <a:xfrm>
            <a:off x="1486341" y="59912250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83EC17A-31E3-4D45-8DF5-60F6527687AC}" type="TxLink">
              <a:rPr lang="en-US" sz="105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64" name="Gráfico 163">
            <a:extLst>
              <a:ext uri="{FF2B5EF4-FFF2-40B4-BE49-F238E27FC236}">
                <a16:creationId xmlns:a16="http://schemas.microsoft.com/office/drawing/2014/main" id="{1C02D17D-52F8-4107-9575-35EE3B8F0322}"/>
              </a:ext>
            </a:extLst>
          </xdr:cNvPr>
          <xdr:cNvGraphicFramePr/>
        </xdr:nvGraphicFramePr>
        <xdr:xfrm>
          <a:off x="352425" y="60414500"/>
          <a:ext cx="3200398" cy="20706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$F$21">
        <xdr:nvSpPr>
          <xdr:cNvPr id="165" name="Rectángulo 164">
            <a:extLst>
              <a:ext uri="{FF2B5EF4-FFF2-40B4-BE49-F238E27FC236}">
                <a16:creationId xmlns:a16="http://schemas.microsoft.com/office/drawing/2014/main" id="{A91185ED-EB3E-4AF0-B0F7-8FFDFA009D9F}"/>
              </a:ext>
            </a:extLst>
          </xdr:cNvPr>
          <xdr:cNvSpPr/>
        </xdr:nvSpPr>
        <xdr:spPr>
          <a:xfrm>
            <a:off x="1533966" y="61207650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1480A61-01F8-49C2-82B1-02ED345D2DE7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tx2">
                  <a:lumMod val="75000"/>
                </a:schemeClr>
              </a:solidFill>
            </a:endParaRPr>
          </a:p>
        </xdr:txBody>
      </xdr:sp>
      <xdr:sp macro="" textlink="$B$21">
        <xdr:nvSpPr>
          <xdr:cNvPr id="166" name="Rectángulo 165">
            <a:extLst>
              <a:ext uri="{FF2B5EF4-FFF2-40B4-BE49-F238E27FC236}">
                <a16:creationId xmlns:a16="http://schemas.microsoft.com/office/drawing/2014/main" id="{E390F995-3FC4-478A-906C-99002CE3D4A4}"/>
              </a:ext>
            </a:extLst>
          </xdr:cNvPr>
          <xdr:cNvSpPr/>
        </xdr:nvSpPr>
        <xdr:spPr>
          <a:xfrm>
            <a:off x="1059488" y="60075339"/>
            <a:ext cx="1683931" cy="41056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0F83D60-0B03-4AF2-B429-43D51BD907CD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</a:t>
            </a:fld>
            <a:endParaRPr lang="es-ES" sz="1200" b="1">
              <a:solidFill>
                <a:srgbClr val="F7697D"/>
              </a:solidFill>
            </a:endParaRPr>
          </a:p>
        </xdr:txBody>
      </xdr:sp>
    </xdr:grpSp>
    <xdr:clientData/>
  </xdr:twoCellAnchor>
  <xdr:twoCellAnchor>
    <xdr:from>
      <xdr:col>0</xdr:col>
      <xdr:colOff>266700</xdr:colOff>
      <xdr:row>322</xdr:row>
      <xdr:rowOff>171450</xdr:rowOff>
    </xdr:from>
    <xdr:to>
      <xdr:col>3</xdr:col>
      <xdr:colOff>85723</xdr:colOff>
      <xdr:row>336</xdr:row>
      <xdr:rowOff>77364</xdr:rowOff>
    </xdr:to>
    <xdr:grpSp>
      <xdr:nvGrpSpPr>
        <xdr:cNvPr id="178" name="Grupo 177"/>
        <xdr:cNvGrpSpPr/>
      </xdr:nvGrpSpPr>
      <xdr:grpSpPr>
        <a:xfrm>
          <a:off x="266700" y="61645800"/>
          <a:ext cx="3409948" cy="2572914"/>
          <a:chOff x="390525" y="61855350"/>
          <a:chExt cx="3200398" cy="2572914"/>
        </a:xfrm>
      </xdr:grpSpPr>
      <xdr:sp macro="" textlink="$F$8">
        <xdr:nvSpPr>
          <xdr:cNvPr id="168" name="Rectángulo 167">
            <a:extLst>
              <a:ext uri="{FF2B5EF4-FFF2-40B4-BE49-F238E27FC236}">
                <a16:creationId xmlns:a16="http://schemas.microsoft.com/office/drawing/2014/main" id="{7B72ED96-6208-4713-9C11-61816CC1C2BF}"/>
              </a:ext>
            </a:extLst>
          </xdr:cNvPr>
          <xdr:cNvSpPr/>
        </xdr:nvSpPr>
        <xdr:spPr>
          <a:xfrm>
            <a:off x="1524441" y="61855350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83EC17A-31E3-4D45-8DF5-60F6527687AC}" type="TxLink">
              <a:rPr lang="en-US" sz="105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69" name="Gráfico 168">
            <a:extLst>
              <a:ext uri="{FF2B5EF4-FFF2-40B4-BE49-F238E27FC236}">
                <a16:creationId xmlns:a16="http://schemas.microsoft.com/office/drawing/2014/main" id="{1C02D17D-52F8-4107-9575-35EE3B8F0322}"/>
              </a:ext>
            </a:extLst>
          </xdr:cNvPr>
          <xdr:cNvGraphicFramePr/>
        </xdr:nvGraphicFramePr>
        <xdr:xfrm>
          <a:off x="390525" y="62357600"/>
          <a:ext cx="3200398" cy="20706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  <xdr:sp macro="" textlink="$F$22">
        <xdr:nvSpPr>
          <xdr:cNvPr id="170" name="Rectángulo 169">
            <a:extLst>
              <a:ext uri="{FF2B5EF4-FFF2-40B4-BE49-F238E27FC236}">
                <a16:creationId xmlns:a16="http://schemas.microsoft.com/office/drawing/2014/main" id="{A91185ED-EB3E-4AF0-B0F7-8FFDFA009D9F}"/>
              </a:ext>
            </a:extLst>
          </xdr:cNvPr>
          <xdr:cNvSpPr/>
        </xdr:nvSpPr>
        <xdr:spPr>
          <a:xfrm>
            <a:off x="1572066" y="63150750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B6E9EBD-C4CC-488A-8A8D-98B88FEDD473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tx2">
                  <a:lumMod val="75000"/>
                </a:schemeClr>
              </a:solidFill>
            </a:endParaRPr>
          </a:p>
        </xdr:txBody>
      </xdr:sp>
      <xdr:sp macro="" textlink="$B$22">
        <xdr:nvSpPr>
          <xdr:cNvPr id="171" name="Rectángulo 170">
            <a:extLst>
              <a:ext uri="{FF2B5EF4-FFF2-40B4-BE49-F238E27FC236}">
                <a16:creationId xmlns:a16="http://schemas.microsoft.com/office/drawing/2014/main" id="{E390F995-3FC4-478A-906C-99002CE3D4A4}"/>
              </a:ext>
            </a:extLst>
          </xdr:cNvPr>
          <xdr:cNvSpPr/>
        </xdr:nvSpPr>
        <xdr:spPr>
          <a:xfrm>
            <a:off x="1097588" y="62018439"/>
            <a:ext cx="1683931" cy="41056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0049431-B0F3-4C39-B623-EAFB1A54A992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</a:t>
            </a:fld>
            <a:endParaRPr lang="es-ES" sz="1200" b="1">
              <a:solidFill>
                <a:srgbClr val="F7697D"/>
              </a:solidFill>
            </a:endParaRPr>
          </a:p>
        </xdr:txBody>
      </xdr:sp>
    </xdr:grpSp>
    <xdr:clientData/>
  </xdr:twoCellAnchor>
  <xdr:twoCellAnchor>
    <xdr:from>
      <xdr:col>0</xdr:col>
      <xdr:colOff>219075</xdr:colOff>
      <xdr:row>340</xdr:row>
      <xdr:rowOff>9525</xdr:rowOff>
    </xdr:from>
    <xdr:to>
      <xdr:col>3</xdr:col>
      <xdr:colOff>38098</xdr:colOff>
      <xdr:row>353</xdr:row>
      <xdr:rowOff>105939</xdr:rowOff>
    </xdr:to>
    <xdr:grpSp>
      <xdr:nvGrpSpPr>
        <xdr:cNvPr id="179" name="Grupo 178"/>
        <xdr:cNvGrpSpPr/>
      </xdr:nvGrpSpPr>
      <xdr:grpSpPr>
        <a:xfrm>
          <a:off x="219075" y="64912875"/>
          <a:ext cx="3409948" cy="2572914"/>
          <a:chOff x="5981700" y="64284225"/>
          <a:chExt cx="3200398" cy="2572914"/>
        </a:xfrm>
      </xdr:grpSpPr>
      <xdr:sp macro="" textlink="$F$8">
        <xdr:nvSpPr>
          <xdr:cNvPr id="174" name="Rectángulo 173">
            <a:extLst>
              <a:ext uri="{FF2B5EF4-FFF2-40B4-BE49-F238E27FC236}">
                <a16:creationId xmlns:a16="http://schemas.microsoft.com/office/drawing/2014/main" id="{7B72ED96-6208-4713-9C11-61816CC1C2BF}"/>
              </a:ext>
            </a:extLst>
          </xdr:cNvPr>
          <xdr:cNvSpPr/>
        </xdr:nvSpPr>
        <xdr:spPr>
          <a:xfrm>
            <a:off x="7115616" y="64284225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83EC17A-31E3-4D45-8DF5-60F6527687AC}" type="TxLink">
              <a:rPr lang="en-US" sz="1050" b="1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5" name="Gráfico 174">
            <a:extLst>
              <a:ext uri="{FF2B5EF4-FFF2-40B4-BE49-F238E27FC236}">
                <a16:creationId xmlns:a16="http://schemas.microsoft.com/office/drawing/2014/main" id="{1C02D17D-52F8-4107-9575-35EE3B8F0322}"/>
              </a:ext>
            </a:extLst>
          </xdr:cNvPr>
          <xdr:cNvGraphicFramePr/>
        </xdr:nvGraphicFramePr>
        <xdr:xfrm>
          <a:off x="5981700" y="64786475"/>
          <a:ext cx="3200398" cy="20706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sp macro="" textlink="$F$23">
        <xdr:nvSpPr>
          <xdr:cNvPr id="176" name="Rectángulo 175">
            <a:extLst>
              <a:ext uri="{FF2B5EF4-FFF2-40B4-BE49-F238E27FC236}">
                <a16:creationId xmlns:a16="http://schemas.microsoft.com/office/drawing/2014/main" id="{A91185ED-EB3E-4AF0-B0F7-8FFDFA009D9F}"/>
              </a:ext>
            </a:extLst>
          </xdr:cNvPr>
          <xdr:cNvSpPr/>
        </xdr:nvSpPr>
        <xdr:spPr>
          <a:xfrm>
            <a:off x="7163241" y="65579625"/>
            <a:ext cx="809403" cy="419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0291DEB-F259-44FE-BC24-FAFF1BD5FEF3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#¡DIV/0!</a:t>
            </a:fld>
            <a:endParaRPr lang="es-ES" sz="1800" b="1">
              <a:solidFill>
                <a:schemeClr val="tx2">
                  <a:lumMod val="75000"/>
                </a:schemeClr>
              </a:solidFill>
            </a:endParaRPr>
          </a:p>
        </xdr:txBody>
      </xdr:sp>
      <xdr:sp macro="" textlink="$B$23">
        <xdr:nvSpPr>
          <xdr:cNvPr id="177" name="Rectángulo 176">
            <a:extLst>
              <a:ext uri="{FF2B5EF4-FFF2-40B4-BE49-F238E27FC236}">
                <a16:creationId xmlns:a16="http://schemas.microsoft.com/office/drawing/2014/main" id="{E390F995-3FC4-478A-906C-99002CE3D4A4}"/>
              </a:ext>
            </a:extLst>
          </xdr:cNvPr>
          <xdr:cNvSpPr/>
        </xdr:nvSpPr>
        <xdr:spPr>
          <a:xfrm>
            <a:off x="6688763" y="64447314"/>
            <a:ext cx="1683931" cy="41056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85A450C-37BA-4803-A0FC-F99E46977CC8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</a:t>
            </a:fld>
            <a:endParaRPr lang="es-ES" sz="1200" b="1">
              <a:solidFill>
                <a:srgbClr val="F7697D"/>
              </a:solidFill>
            </a:endParaRPr>
          </a:p>
        </xdr:txBody>
      </xdr:sp>
    </xdr:grpSp>
    <xdr:clientData/>
  </xdr:twoCellAnchor>
  <xdr:twoCellAnchor>
    <xdr:from>
      <xdr:col>2</xdr:col>
      <xdr:colOff>904875</xdr:colOff>
      <xdr:row>142</xdr:row>
      <xdr:rowOff>20214</xdr:rowOff>
    </xdr:from>
    <xdr:to>
      <xdr:col>2</xdr:col>
      <xdr:colOff>1352550</xdr:colOff>
      <xdr:row>145</xdr:row>
      <xdr:rowOff>96414</xdr:rowOff>
    </xdr:to>
    <xdr:sp macro="" textlink="">
      <xdr:nvSpPr>
        <xdr:cNvPr id="180" name="Flecha: a la derecha 66">
          <a:extLst>
            <a:ext uri="{FF2B5EF4-FFF2-40B4-BE49-F238E27FC236}">
              <a16:creationId xmlns:a16="http://schemas.microsoft.com/office/drawing/2014/main" id="{3332279D-C292-42EC-9A46-B320AD6A1118}"/>
            </a:ext>
          </a:extLst>
        </xdr:cNvPr>
        <xdr:cNvSpPr/>
      </xdr:nvSpPr>
      <xdr:spPr>
        <a:xfrm>
          <a:off x="2886075" y="27204564"/>
          <a:ext cx="447675" cy="647700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257175</xdr:colOff>
      <xdr:row>140</xdr:row>
      <xdr:rowOff>66675</xdr:rowOff>
    </xdr:from>
    <xdr:to>
      <xdr:col>6</xdr:col>
      <xdr:colOff>1152525</xdr:colOff>
      <xdr:row>146</xdr:row>
      <xdr:rowOff>152400</xdr:rowOff>
    </xdr:to>
    <xdr:sp macro="" textlink="">
      <xdr:nvSpPr>
        <xdr:cNvPr id="183" name="CuadroTexto 182">
          <a:extLst>
            <a:ext uri="{FF2B5EF4-FFF2-40B4-BE49-F238E27FC236}">
              <a16:creationId xmlns:a16="http://schemas.microsoft.com/office/drawing/2014/main" id="{605F9FBB-9809-4538-AF25-A160FCCDE915}"/>
            </a:ext>
          </a:extLst>
        </xdr:cNvPr>
        <xdr:cNvSpPr txBox="1"/>
      </xdr:nvSpPr>
      <xdr:spPr>
        <a:xfrm>
          <a:off x="3638550" y="26870025"/>
          <a:ext cx="5153025" cy="1228725"/>
        </a:xfrm>
        <a:prstGeom prst="rect">
          <a:avLst/>
        </a:prstGeom>
        <a:solidFill>
          <a:schemeClr val="lt1"/>
        </a:solidFill>
        <a:ln w="9525" cmpd="sng">
          <a:solidFill>
            <a:schemeClr val="accent6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Analisis:</a:t>
          </a:r>
        </a:p>
      </xdr:txBody>
    </xdr:sp>
    <xdr:clientData/>
  </xdr:twoCellAnchor>
  <xdr:twoCellAnchor>
    <xdr:from>
      <xdr:col>2</xdr:col>
      <xdr:colOff>904875</xdr:colOff>
      <xdr:row>158</xdr:row>
      <xdr:rowOff>76200</xdr:rowOff>
    </xdr:from>
    <xdr:to>
      <xdr:col>2</xdr:col>
      <xdr:colOff>1352550</xdr:colOff>
      <xdr:row>161</xdr:row>
      <xdr:rowOff>152400</xdr:rowOff>
    </xdr:to>
    <xdr:sp macro="" textlink="">
      <xdr:nvSpPr>
        <xdr:cNvPr id="184" name="Flecha: a la derecha 66">
          <a:extLst>
            <a:ext uri="{FF2B5EF4-FFF2-40B4-BE49-F238E27FC236}">
              <a16:creationId xmlns:a16="http://schemas.microsoft.com/office/drawing/2014/main" id="{3332279D-C292-42EC-9A46-B320AD6A1118}"/>
            </a:ext>
          </a:extLst>
        </xdr:cNvPr>
        <xdr:cNvSpPr/>
      </xdr:nvSpPr>
      <xdr:spPr>
        <a:xfrm>
          <a:off x="2886075" y="30308550"/>
          <a:ext cx="447675" cy="647700"/>
        </a:xfrm>
        <a:prstGeom prst="rightArrow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257175</xdr:colOff>
      <xdr:row>156</xdr:row>
      <xdr:rowOff>180975</xdr:rowOff>
    </xdr:from>
    <xdr:to>
      <xdr:col>6</xdr:col>
      <xdr:colOff>1152525</xdr:colOff>
      <xdr:row>163</xdr:row>
      <xdr:rowOff>76200</xdr:rowOff>
    </xdr:to>
    <xdr:sp macro="" textlink="">
      <xdr:nvSpPr>
        <xdr:cNvPr id="185" name="CuadroTexto 184">
          <a:extLst>
            <a:ext uri="{FF2B5EF4-FFF2-40B4-BE49-F238E27FC236}">
              <a16:creationId xmlns:a16="http://schemas.microsoft.com/office/drawing/2014/main" id="{605F9FBB-9809-4538-AF25-A160FCCDE915}"/>
            </a:ext>
          </a:extLst>
        </xdr:cNvPr>
        <xdr:cNvSpPr txBox="1"/>
      </xdr:nvSpPr>
      <xdr:spPr>
        <a:xfrm>
          <a:off x="3638550" y="30032325"/>
          <a:ext cx="5153025" cy="1228725"/>
        </a:xfrm>
        <a:prstGeom prst="rect">
          <a:avLst/>
        </a:prstGeom>
        <a:solidFill>
          <a:schemeClr val="lt1"/>
        </a:solidFill>
        <a:ln w="9525" cmpd="sng">
          <a:solidFill>
            <a:schemeClr val="accent2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Analisis:</a:t>
          </a:r>
        </a:p>
      </xdr:txBody>
    </xdr:sp>
    <xdr:clientData/>
  </xdr:twoCellAnchor>
  <xdr:twoCellAnchor>
    <xdr:from>
      <xdr:col>2</xdr:col>
      <xdr:colOff>904875</xdr:colOff>
      <xdr:row>175</xdr:row>
      <xdr:rowOff>76200</xdr:rowOff>
    </xdr:from>
    <xdr:to>
      <xdr:col>2</xdr:col>
      <xdr:colOff>1352550</xdr:colOff>
      <xdr:row>178</xdr:row>
      <xdr:rowOff>152400</xdr:rowOff>
    </xdr:to>
    <xdr:sp macro="" textlink="">
      <xdr:nvSpPr>
        <xdr:cNvPr id="186" name="Flecha: a la derecha 66">
          <a:extLst>
            <a:ext uri="{FF2B5EF4-FFF2-40B4-BE49-F238E27FC236}">
              <a16:creationId xmlns:a16="http://schemas.microsoft.com/office/drawing/2014/main" id="{3332279D-C292-42EC-9A46-B320AD6A1118}"/>
            </a:ext>
          </a:extLst>
        </xdr:cNvPr>
        <xdr:cNvSpPr/>
      </xdr:nvSpPr>
      <xdr:spPr>
        <a:xfrm>
          <a:off x="2886075" y="33547050"/>
          <a:ext cx="447675" cy="647700"/>
        </a:xfrm>
        <a:prstGeom prst="rightArrow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266700</xdr:colOff>
      <xdr:row>173</xdr:row>
      <xdr:rowOff>152400</xdr:rowOff>
    </xdr:from>
    <xdr:to>
      <xdr:col>6</xdr:col>
      <xdr:colOff>1162050</xdr:colOff>
      <xdr:row>180</xdr:row>
      <xdr:rowOff>47625</xdr:rowOff>
    </xdr:to>
    <xdr:sp macro="" textlink="">
      <xdr:nvSpPr>
        <xdr:cNvPr id="187" name="CuadroTexto 186">
          <a:extLst>
            <a:ext uri="{FF2B5EF4-FFF2-40B4-BE49-F238E27FC236}">
              <a16:creationId xmlns:a16="http://schemas.microsoft.com/office/drawing/2014/main" id="{605F9FBB-9809-4538-AF25-A160FCCDE915}"/>
            </a:ext>
          </a:extLst>
        </xdr:cNvPr>
        <xdr:cNvSpPr txBox="1"/>
      </xdr:nvSpPr>
      <xdr:spPr>
        <a:xfrm>
          <a:off x="3648075" y="33242250"/>
          <a:ext cx="5153025" cy="1228725"/>
        </a:xfrm>
        <a:prstGeom prst="rect">
          <a:avLst/>
        </a:prstGeom>
        <a:solidFill>
          <a:schemeClr val="lt1"/>
        </a:solidFill>
        <a:ln w="9525" cmpd="sng">
          <a:solidFill>
            <a:schemeClr val="tx2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Analisis:</a:t>
          </a:r>
        </a:p>
      </xdr:txBody>
    </xdr:sp>
    <xdr:clientData/>
  </xdr:twoCellAnchor>
  <xdr:twoCellAnchor>
    <xdr:from>
      <xdr:col>2</xdr:col>
      <xdr:colOff>904875</xdr:colOff>
      <xdr:row>192</xdr:row>
      <xdr:rowOff>95250</xdr:rowOff>
    </xdr:from>
    <xdr:to>
      <xdr:col>2</xdr:col>
      <xdr:colOff>1352550</xdr:colOff>
      <xdr:row>195</xdr:row>
      <xdr:rowOff>171450</xdr:rowOff>
    </xdr:to>
    <xdr:sp macro="" textlink="">
      <xdr:nvSpPr>
        <xdr:cNvPr id="188" name="Flecha: a la derecha 66">
          <a:extLst>
            <a:ext uri="{FF2B5EF4-FFF2-40B4-BE49-F238E27FC236}">
              <a16:creationId xmlns:a16="http://schemas.microsoft.com/office/drawing/2014/main" id="{3332279D-C292-42EC-9A46-B320AD6A1118}"/>
            </a:ext>
          </a:extLst>
        </xdr:cNvPr>
        <xdr:cNvSpPr/>
      </xdr:nvSpPr>
      <xdr:spPr>
        <a:xfrm>
          <a:off x="2886075" y="36804600"/>
          <a:ext cx="447675" cy="64770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266700</xdr:colOff>
      <xdr:row>190</xdr:row>
      <xdr:rowOff>180975</xdr:rowOff>
    </xdr:from>
    <xdr:to>
      <xdr:col>6</xdr:col>
      <xdr:colOff>1162050</xdr:colOff>
      <xdr:row>197</xdr:row>
      <xdr:rowOff>76200</xdr:rowOff>
    </xdr:to>
    <xdr:sp macro="" textlink="">
      <xdr:nvSpPr>
        <xdr:cNvPr id="189" name="CuadroTexto 188">
          <a:extLst>
            <a:ext uri="{FF2B5EF4-FFF2-40B4-BE49-F238E27FC236}">
              <a16:creationId xmlns:a16="http://schemas.microsoft.com/office/drawing/2014/main" id="{605F9FBB-9809-4538-AF25-A160FCCDE915}"/>
            </a:ext>
          </a:extLst>
        </xdr:cNvPr>
        <xdr:cNvSpPr txBox="1"/>
      </xdr:nvSpPr>
      <xdr:spPr>
        <a:xfrm>
          <a:off x="3648075" y="36509325"/>
          <a:ext cx="5153025" cy="1228725"/>
        </a:xfrm>
        <a:prstGeom prst="rect">
          <a:avLst/>
        </a:prstGeom>
        <a:solidFill>
          <a:schemeClr val="lt1"/>
        </a:solidFill>
        <a:ln w="9525" cmpd="sng">
          <a:solidFill>
            <a:schemeClr val="tx2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Analisis:</a:t>
          </a:r>
        </a:p>
      </xdr:txBody>
    </xdr:sp>
    <xdr:clientData/>
  </xdr:twoCellAnchor>
  <xdr:twoCellAnchor>
    <xdr:from>
      <xdr:col>2</xdr:col>
      <xdr:colOff>904875</xdr:colOff>
      <xdr:row>208</xdr:row>
      <xdr:rowOff>171450</xdr:rowOff>
    </xdr:from>
    <xdr:to>
      <xdr:col>2</xdr:col>
      <xdr:colOff>1352550</xdr:colOff>
      <xdr:row>212</xdr:row>
      <xdr:rowOff>57150</xdr:rowOff>
    </xdr:to>
    <xdr:sp macro="" textlink="">
      <xdr:nvSpPr>
        <xdr:cNvPr id="190" name="Flecha: a la derecha 66">
          <a:extLst>
            <a:ext uri="{FF2B5EF4-FFF2-40B4-BE49-F238E27FC236}">
              <a16:creationId xmlns:a16="http://schemas.microsoft.com/office/drawing/2014/main" id="{3332279D-C292-42EC-9A46-B320AD6A1118}"/>
            </a:ext>
          </a:extLst>
        </xdr:cNvPr>
        <xdr:cNvSpPr/>
      </xdr:nvSpPr>
      <xdr:spPr>
        <a:xfrm>
          <a:off x="2886075" y="39928800"/>
          <a:ext cx="447675" cy="647700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266700</xdr:colOff>
      <xdr:row>207</xdr:row>
      <xdr:rowOff>38100</xdr:rowOff>
    </xdr:from>
    <xdr:to>
      <xdr:col>6</xdr:col>
      <xdr:colOff>1162050</xdr:colOff>
      <xdr:row>213</xdr:row>
      <xdr:rowOff>123825</xdr:rowOff>
    </xdr:to>
    <xdr:sp macro="" textlink="">
      <xdr:nvSpPr>
        <xdr:cNvPr id="191" name="CuadroTexto 190">
          <a:extLst>
            <a:ext uri="{FF2B5EF4-FFF2-40B4-BE49-F238E27FC236}">
              <a16:creationId xmlns:a16="http://schemas.microsoft.com/office/drawing/2014/main" id="{605F9FBB-9809-4538-AF25-A160FCCDE915}"/>
            </a:ext>
          </a:extLst>
        </xdr:cNvPr>
        <xdr:cNvSpPr txBox="1"/>
      </xdr:nvSpPr>
      <xdr:spPr>
        <a:xfrm>
          <a:off x="3648075" y="39604950"/>
          <a:ext cx="5153025" cy="1228725"/>
        </a:xfrm>
        <a:prstGeom prst="rect">
          <a:avLst/>
        </a:prstGeom>
        <a:solidFill>
          <a:schemeClr val="lt1"/>
        </a:solidFill>
        <a:ln w="9525" cmpd="sng">
          <a:solidFill>
            <a:schemeClr val="accent6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Analisis:</a:t>
          </a:r>
        </a:p>
      </xdr:txBody>
    </xdr:sp>
    <xdr:clientData/>
  </xdr:twoCellAnchor>
  <xdr:twoCellAnchor>
    <xdr:from>
      <xdr:col>2</xdr:col>
      <xdr:colOff>904875</xdr:colOff>
      <xdr:row>226</xdr:row>
      <xdr:rowOff>19050</xdr:rowOff>
    </xdr:from>
    <xdr:to>
      <xdr:col>2</xdr:col>
      <xdr:colOff>1352550</xdr:colOff>
      <xdr:row>229</xdr:row>
      <xdr:rowOff>95250</xdr:rowOff>
    </xdr:to>
    <xdr:sp macro="" textlink="">
      <xdr:nvSpPr>
        <xdr:cNvPr id="192" name="Flecha: a la derecha 66">
          <a:extLst>
            <a:ext uri="{FF2B5EF4-FFF2-40B4-BE49-F238E27FC236}">
              <a16:creationId xmlns:a16="http://schemas.microsoft.com/office/drawing/2014/main" id="{3332279D-C292-42EC-9A46-B320AD6A1118}"/>
            </a:ext>
          </a:extLst>
        </xdr:cNvPr>
        <xdr:cNvSpPr/>
      </xdr:nvSpPr>
      <xdr:spPr>
        <a:xfrm>
          <a:off x="2886075" y="43205400"/>
          <a:ext cx="447675" cy="647700"/>
        </a:xfrm>
        <a:prstGeom prst="rightArrow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266700</xdr:colOff>
      <xdr:row>224</xdr:row>
      <xdr:rowOff>47625</xdr:rowOff>
    </xdr:from>
    <xdr:to>
      <xdr:col>6</xdr:col>
      <xdr:colOff>1162050</xdr:colOff>
      <xdr:row>230</xdr:row>
      <xdr:rowOff>133350</xdr:rowOff>
    </xdr:to>
    <xdr:sp macro="" textlink="">
      <xdr:nvSpPr>
        <xdr:cNvPr id="194" name="CuadroTexto 193">
          <a:extLst>
            <a:ext uri="{FF2B5EF4-FFF2-40B4-BE49-F238E27FC236}">
              <a16:creationId xmlns:a16="http://schemas.microsoft.com/office/drawing/2014/main" id="{605F9FBB-9809-4538-AF25-A160FCCDE915}"/>
            </a:ext>
          </a:extLst>
        </xdr:cNvPr>
        <xdr:cNvSpPr txBox="1"/>
      </xdr:nvSpPr>
      <xdr:spPr>
        <a:xfrm>
          <a:off x="3648075" y="42852975"/>
          <a:ext cx="5153025" cy="1228725"/>
        </a:xfrm>
        <a:prstGeom prst="rect">
          <a:avLst/>
        </a:prstGeom>
        <a:solidFill>
          <a:schemeClr val="lt1"/>
        </a:solidFill>
        <a:ln w="9525" cmpd="sng">
          <a:solidFill>
            <a:schemeClr val="accent5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Analisis:</a:t>
          </a:r>
        </a:p>
      </xdr:txBody>
    </xdr:sp>
    <xdr:clientData/>
  </xdr:twoCellAnchor>
  <xdr:twoCellAnchor>
    <xdr:from>
      <xdr:col>2</xdr:col>
      <xdr:colOff>904875</xdr:colOff>
      <xdr:row>242</xdr:row>
      <xdr:rowOff>114300</xdr:rowOff>
    </xdr:from>
    <xdr:to>
      <xdr:col>2</xdr:col>
      <xdr:colOff>1352550</xdr:colOff>
      <xdr:row>246</xdr:row>
      <xdr:rowOff>0</xdr:rowOff>
    </xdr:to>
    <xdr:sp macro="" textlink="">
      <xdr:nvSpPr>
        <xdr:cNvPr id="195" name="Flecha: a la derecha 66">
          <a:extLst>
            <a:ext uri="{FF2B5EF4-FFF2-40B4-BE49-F238E27FC236}">
              <a16:creationId xmlns:a16="http://schemas.microsoft.com/office/drawing/2014/main" id="{3332279D-C292-42EC-9A46-B320AD6A1118}"/>
            </a:ext>
          </a:extLst>
        </xdr:cNvPr>
        <xdr:cNvSpPr/>
      </xdr:nvSpPr>
      <xdr:spPr>
        <a:xfrm>
          <a:off x="2886075" y="46348650"/>
          <a:ext cx="447675" cy="647700"/>
        </a:xfrm>
        <a:prstGeom prst="rightArrow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266700</xdr:colOff>
      <xdr:row>241</xdr:row>
      <xdr:rowOff>9525</xdr:rowOff>
    </xdr:from>
    <xdr:to>
      <xdr:col>6</xdr:col>
      <xdr:colOff>1162050</xdr:colOff>
      <xdr:row>247</xdr:row>
      <xdr:rowOff>95250</xdr:rowOff>
    </xdr:to>
    <xdr:sp macro="" textlink="">
      <xdr:nvSpPr>
        <xdr:cNvPr id="196" name="CuadroTexto 195">
          <a:extLst>
            <a:ext uri="{FF2B5EF4-FFF2-40B4-BE49-F238E27FC236}">
              <a16:creationId xmlns:a16="http://schemas.microsoft.com/office/drawing/2014/main" id="{605F9FBB-9809-4538-AF25-A160FCCDE915}"/>
            </a:ext>
          </a:extLst>
        </xdr:cNvPr>
        <xdr:cNvSpPr txBox="1"/>
      </xdr:nvSpPr>
      <xdr:spPr>
        <a:xfrm>
          <a:off x="3648075" y="46053375"/>
          <a:ext cx="5153025" cy="1228725"/>
        </a:xfrm>
        <a:prstGeom prst="rect">
          <a:avLst/>
        </a:prstGeom>
        <a:solidFill>
          <a:schemeClr val="lt1"/>
        </a:solidFill>
        <a:ln w="9525" cmpd="sng">
          <a:solidFill>
            <a:schemeClr val="accent4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Analisis:</a:t>
          </a:r>
        </a:p>
      </xdr:txBody>
    </xdr:sp>
    <xdr:clientData/>
  </xdr:twoCellAnchor>
  <xdr:twoCellAnchor>
    <xdr:from>
      <xdr:col>2</xdr:col>
      <xdr:colOff>904875</xdr:colOff>
      <xdr:row>260</xdr:row>
      <xdr:rowOff>85725</xdr:rowOff>
    </xdr:from>
    <xdr:to>
      <xdr:col>2</xdr:col>
      <xdr:colOff>1352550</xdr:colOff>
      <xdr:row>263</xdr:row>
      <xdr:rowOff>161925</xdr:rowOff>
    </xdr:to>
    <xdr:sp macro="" textlink="">
      <xdr:nvSpPr>
        <xdr:cNvPr id="197" name="Flecha: a la derecha 66">
          <a:extLst>
            <a:ext uri="{FF2B5EF4-FFF2-40B4-BE49-F238E27FC236}">
              <a16:creationId xmlns:a16="http://schemas.microsoft.com/office/drawing/2014/main" id="{3332279D-C292-42EC-9A46-B320AD6A1118}"/>
            </a:ext>
          </a:extLst>
        </xdr:cNvPr>
        <xdr:cNvSpPr/>
      </xdr:nvSpPr>
      <xdr:spPr>
        <a:xfrm>
          <a:off x="2886075" y="49749075"/>
          <a:ext cx="447675" cy="647700"/>
        </a:xfrm>
        <a:prstGeom prst="rightArrow">
          <a:avLst/>
        </a:prstGeom>
        <a:solidFill>
          <a:srgbClr val="F7697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266700</xdr:colOff>
      <xdr:row>258</xdr:row>
      <xdr:rowOff>114300</xdr:rowOff>
    </xdr:from>
    <xdr:to>
      <xdr:col>6</xdr:col>
      <xdr:colOff>1162050</xdr:colOff>
      <xdr:row>265</xdr:row>
      <xdr:rowOff>9525</xdr:rowOff>
    </xdr:to>
    <xdr:sp macro="" textlink="">
      <xdr:nvSpPr>
        <xdr:cNvPr id="199" name="CuadroTexto 198">
          <a:extLst>
            <a:ext uri="{FF2B5EF4-FFF2-40B4-BE49-F238E27FC236}">
              <a16:creationId xmlns:a16="http://schemas.microsoft.com/office/drawing/2014/main" id="{605F9FBB-9809-4538-AF25-A160FCCDE915}"/>
            </a:ext>
          </a:extLst>
        </xdr:cNvPr>
        <xdr:cNvSpPr txBox="1"/>
      </xdr:nvSpPr>
      <xdr:spPr>
        <a:xfrm>
          <a:off x="3648075" y="49396650"/>
          <a:ext cx="5153025" cy="1228725"/>
        </a:xfrm>
        <a:prstGeom prst="rect">
          <a:avLst/>
        </a:prstGeom>
        <a:solidFill>
          <a:schemeClr val="lt1"/>
        </a:solidFill>
        <a:ln w="9525" cmpd="sng">
          <a:solidFill>
            <a:srgbClr val="F7697D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Analisis:</a:t>
          </a:r>
        </a:p>
      </xdr:txBody>
    </xdr:sp>
    <xdr:clientData/>
  </xdr:twoCellAnchor>
  <xdr:twoCellAnchor>
    <xdr:from>
      <xdr:col>2</xdr:col>
      <xdr:colOff>904875</xdr:colOff>
      <xdr:row>276</xdr:row>
      <xdr:rowOff>171450</xdr:rowOff>
    </xdr:from>
    <xdr:to>
      <xdr:col>2</xdr:col>
      <xdr:colOff>1352550</xdr:colOff>
      <xdr:row>280</xdr:row>
      <xdr:rowOff>57150</xdr:rowOff>
    </xdr:to>
    <xdr:sp macro="" textlink="">
      <xdr:nvSpPr>
        <xdr:cNvPr id="200" name="Flecha: a la derecha 66">
          <a:extLst>
            <a:ext uri="{FF2B5EF4-FFF2-40B4-BE49-F238E27FC236}">
              <a16:creationId xmlns:a16="http://schemas.microsoft.com/office/drawing/2014/main" id="{3332279D-C292-42EC-9A46-B320AD6A1118}"/>
            </a:ext>
          </a:extLst>
        </xdr:cNvPr>
        <xdr:cNvSpPr/>
      </xdr:nvSpPr>
      <xdr:spPr>
        <a:xfrm>
          <a:off x="2886075" y="53073300"/>
          <a:ext cx="447675" cy="647700"/>
        </a:xfrm>
        <a:prstGeom prst="rightArrow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266700</xdr:colOff>
      <xdr:row>274</xdr:row>
      <xdr:rowOff>123825</xdr:rowOff>
    </xdr:from>
    <xdr:to>
      <xdr:col>6</xdr:col>
      <xdr:colOff>1162050</xdr:colOff>
      <xdr:row>281</xdr:row>
      <xdr:rowOff>19050</xdr:rowOff>
    </xdr:to>
    <xdr:sp macro="" textlink="">
      <xdr:nvSpPr>
        <xdr:cNvPr id="202" name="CuadroTexto 201">
          <a:extLst>
            <a:ext uri="{FF2B5EF4-FFF2-40B4-BE49-F238E27FC236}">
              <a16:creationId xmlns:a16="http://schemas.microsoft.com/office/drawing/2014/main" id="{605F9FBB-9809-4538-AF25-A160FCCDE915}"/>
            </a:ext>
          </a:extLst>
        </xdr:cNvPr>
        <xdr:cNvSpPr txBox="1"/>
      </xdr:nvSpPr>
      <xdr:spPr>
        <a:xfrm>
          <a:off x="3648075" y="52644675"/>
          <a:ext cx="5153025" cy="1228725"/>
        </a:xfrm>
        <a:prstGeom prst="rect">
          <a:avLst/>
        </a:prstGeom>
        <a:solidFill>
          <a:schemeClr val="lt1"/>
        </a:solidFill>
        <a:ln w="9525" cmpd="sng">
          <a:solidFill>
            <a:schemeClr val="accent2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Analisis:</a:t>
          </a:r>
        </a:p>
      </xdr:txBody>
    </xdr:sp>
    <xdr:clientData/>
  </xdr:twoCellAnchor>
  <xdr:twoCellAnchor>
    <xdr:from>
      <xdr:col>2</xdr:col>
      <xdr:colOff>904875</xdr:colOff>
      <xdr:row>294</xdr:row>
      <xdr:rowOff>66675</xdr:rowOff>
    </xdr:from>
    <xdr:to>
      <xdr:col>2</xdr:col>
      <xdr:colOff>1352550</xdr:colOff>
      <xdr:row>297</xdr:row>
      <xdr:rowOff>142875</xdr:rowOff>
    </xdr:to>
    <xdr:sp macro="" textlink="">
      <xdr:nvSpPr>
        <xdr:cNvPr id="203" name="Flecha: a la derecha 66">
          <a:extLst>
            <a:ext uri="{FF2B5EF4-FFF2-40B4-BE49-F238E27FC236}">
              <a16:creationId xmlns:a16="http://schemas.microsoft.com/office/drawing/2014/main" id="{3332279D-C292-42EC-9A46-B320AD6A1118}"/>
            </a:ext>
          </a:extLst>
        </xdr:cNvPr>
        <xdr:cNvSpPr/>
      </xdr:nvSpPr>
      <xdr:spPr>
        <a:xfrm>
          <a:off x="2886075" y="56207025"/>
          <a:ext cx="447675" cy="647700"/>
        </a:xfrm>
        <a:prstGeom prst="rightArrow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266700</xdr:colOff>
      <xdr:row>292</xdr:row>
      <xdr:rowOff>123825</xdr:rowOff>
    </xdr:from>
    <xdr:to>
      <xdr:col>6</xdr:col>
      <xdr:colOff>1162050</xdr:colOff>
      <xdr:row>299</xdr:row>
      <xdr:rowOff>19050</xdr:rowOff>
    </xdr:to>
    <xdr:sp macro="" textlink="">
      <xdr:nvSpPr>
        <xdr:cNvPr id="205" name="CuadroTexto 204">
          <a:extLst>
            <a:ext uri="{FF2B5EF4-FFF2-40B4-BE49-F238E27FC236}">
              <a16:creationId xmlns:a16="http://schemas.microsoft.com/office/drawing/2014/main" id="{605F9FBB-9809-4538-AF25-A160FCCDE915}"/>
            </a:ext>
          </a:extLst>
        </xdr:cNvPr>
        <xdr:cNvSpPr txBox="1"/>
      </xdr:nvSpPr>
      <xdr:spPr>
        <a:xfrm>
          <a:off x="3648075" y="55883175"/>
          <a:ext cx="5153025" cy="1228725"/>
        </a:xfrm>
        <a:prstGeom prst="rect">
          <a:avLst/>
        </a:prstGeom>
        <a:solidFill>
          <a:schemeClr val="lt1"/>
        </a:solidFill>
        <a:ln w="9525" cmpd="sng">
          <a:solidFill>
            <a:schemeClr val="accent1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Analisis:</a:t>
          </a:r>
        </a:p>
      </xdr:txBody>
    </xdr:sp>
    <xdr:clientData/>
  </xdr:twoCellAnchor>
  <xdr:twoCellAnchor>
    <xdr:from>
      <xdr:col>2</xdr:col>
      <xdr:colOff>904875</xdr:colOff>
      <xdr:row>311</xdr:row>
      <xdr:rowOff>133350</xdr:rowOff>
    </xdr:from>
    <xdr:to>
      <xdr:col>2</xdr:col>
      <xdr:colOff>1352550</xdr:colOff>
      <xdr:row>315</xdr:row>
      <xdr:rowOff>19050</xdr:rowOff>
    </xdr:to>
    <xdr:sp macro="" textlink="">
      <xdr:nvSpPr>
        <xdr:cNvPr id="206" name="Flecha: a la derecha 66">
          <a:extLst>
            <a:ext uri="{FF2B5EF4-FFF2-40B4-BE49-F238E27FC236}">
              <a16:creationId xmlns:a16="http://schemas.microsoft.com/office/drawing/2014/main" id="{3332279D-C292-42EC-9A46-B320AD6A1118}"/>
            </a:ext>
          </a:extLst>
        </xdr:cNvPr>
        <xdr:cNvSpPr/>
      </xdr:nvSpPr>
      <xdr:spPr>
        <a:xfrm>
          <a:off x="2886075" y="59512200"/>
          <a:ext cx="447675" cy="647700"/>
        </a:xfrm>
        <a:prstGeom prst="rightArrow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266700</xdr:colOff>
      <xdr:row>309</xdr:row>
      <xdr:rowOff>142875</xdr:rowOff>
    </xdr:from>
    <xdr:to>
      <xdr:col>6</xdr:col>
      <xdr:colOff>1162050</xdr:colOff>
      <xdr:row>316</xdr:row>
      <xdr:rowOff>38100</xdr:rowOff>
    </xdr:to>
    <xdr:sp macro="" textlink="">
      <xdr:nvSpPr>
        <xdr:cNvPr id="207" name="CuadroTexto 206">
          <a:extLst>
            <a:ext uri="{FF2B5EF4-FFF2-40B4-BE49-F238E27FC236}">
              <a16:creationId xmlns:a16="http://schemas.microsoft.com/office/drawing/2014/main" id="{605F9FBB-9809-4538-AF25-A160FCCDE915}"/>
            </a:ext>
          </a:extLst>
        </xdr:cNvPr>
        <xdr:cNvSpPr txBox="1"/>
      </xdr:nvSpPr>
      <xdr:spPr>
        <a:xfrm>
          <a:off x="3648075" y="59140725"/>
          <a:ext cx="5153025" cy="1228725"/>
        </a:xfrm>
        <a:prstGeom prst="rect">
          <a:avLst/>
        </a:prstGeom>
        <a:solidFill>
          <a:schemeClr val="lt1"/>
        </a:solidFill>
        <a:ln w="9525" cmpd="sng">
          <a:solidFill>
            <a:schemeClr val="tx2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Analisis:</a:t>
          </a:r>
        </a:p>
      </xdr:txBody>
    </xdr:sp>
    <xdr:clientData/>
  </xdr:twoCellAnchor>
  <xdr:twoCellAnchor>
    <xdr:from>
      <xdr:col>2</xdr:col>
      <xdr:colOff>895350</xdr:colOff>
      <xdr:row>329</xdr:row>
      <xdr:rowOff>28575</xdr:rowOff>
    </xdr:from>
    <xdr:to>
      <xdr:col>2</xdr:col>
      <xdr:colOff>1343025</xdr:colOff>
      <xdr:row>332</xdr:row>
      <xdr:rowOff>104775</xdr:rowOff>
    </xdr:to>
    <xdr:sp macro="" textlink="">
      <xdr:nvSpPr>
        <xdr:cNvPr id="208" name="Flecha: a la derecha 66">
          <a:extLst>
            <a:ext uri="{FF2B5EF4-FFF2-40B4-BE49-F238E27FC236}">
              <a16:creationId xmlns:a16="http://schemas.microsoft.com/office/drawing/2014/main" id="{3332279D-C292-42EC-9A46-B320AD6A1118}"/>
            </a:ext>
          </a:extLst>
        </xdr:cNvPr>
        <xdr:cNvSpPr/>
      </xdr:nvSpPr>
      <xdr:spPr>
        <a:xfrm>
          <a:off x="2876550" y="62836425"/>
          <a:ext cx="447675" cy="64770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266700</xdr:colOff>
      <xdr:row>327</xdr:row>
      <xdr:rowOff>104775</xdr:rowOff>
    </xdr:from>
    <xdr:to>
      <xdr:col>6</xdr:col>
      <xdr:colOff>1162050</xdr:colOff>
      <xdr:row>334</xdr:row>
      <xdr:rowOff>0</xdr:rowOff>
    </xdr:to>
    <xdr:sp macro="" textlink="">
      <xdr:nvSpPr>
        <xdr:cNvPr id="209" name="CuadroTexto 208">
          <a:extLst>
            <a:ext uri="{FF2B5EF4-FFF2-40B4-BE49-F238E27FC236}">
              <a16:creationId xmlns:a16="http://schemas.microsoft.com/office/drawing/2014/main" id="{605F9FBB-9809-4538-AF25-A160FCCDE915}"/>
            </a:ext>
          </a:extLst>
        </xdr:cNvPr>
        <xdr:cNvSpPr txBox="1"/>
      </xdr:nvSpPr>
      <xdr:spPr>
        <a:xfrm>
          <a:off x="3648075" y="62531625"/>
          <a:ext cx="5153025" cy="1228725"/>
        </a:xfrm>
        <a:prstGeom prst="rect">
          <a:avLst/>
        </a:prstGeom>
        <a:solidFill>
          <a:schemeClr val="lt1"/>
        </a:solidFill>
        <a:ln w="9525" cmpd="sng">
          <a:solidFill>
            <a:schemeClr val="bg2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Analisis:</a:t>
          </a:r>
        </a:p>
      </xdr:txBody>
    </xdr:sp>
    <xdr:clientData/>
  </xdr:twoCellAnchor>
  <xdr:twoCellAnchor>
    <xdr:from>
      <xdr:col>2</xdr:col>
      <xdr:colOff>904875</xdr:colOff>
      <xdr:row>346</xdr:row>
      <xdr:rowOff>95250</xdr:rowOff>
    </xdr:from>
    <xdr:to>
      <xdr:col>2</xdr:col>
      <xdr:colOff>1352550</xdr:colOff>
      <xdr:row>349</xdr:row>
      <xdr:rowOff>171450</xdr:rowOff>
    </xdr:to>
    <xdr:sp macro="" textlink="">
      <xdr:nvSpPr>
        <xdr:cNvPr id="210" name="Flecha: a la derecha 66">
          <a:extLst>
            <a:ext uri="{FF2B5EF4-FFF2-40B4-BE49-F238E27FC236}">
              <a16:creationId xmlns:a16="http://schemas.microsoft.com/office/drawing/2014/main" id="{3332279D-C292-42EC-9A46-B320AD6A1118}"/>
            </a:ext>
          </a:extLst>
        </xdr:cNvPr>
        <xdr:cNvSpPr/>
      </xdr:nvSpPr>
      <xdr:spPr>
        <a:xfrm>
          <a:off x="2886075" y="66141600"/>
          <a:ext cx="447675" cy="647700"/>
        </a:xfrm>
        <a:prstGeom prst="rightArrow">
          <a:avLst/>
        </a:prstGeom>
        <a:solidFill>
          <a:srgbClr val="F7697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266700</xdr:colOff>
      <xdr:row>344</xdr:row>
      <xdr:rowOff>114300</xdr:rowOff>
    </xdr:from>
    <xdr:to>
      <xdr:col>6</xdr:col>
      <xdr:colOff>1162050</xdr:colOff>
      <xdr:row>351</xdr:row>
      <xdr:rowOff>9525</xdr:rowOff>
    </xdr:to>
    <xdr:sp macro="" textlink="">
      <xdr:nvSpPr>
        <xdr:cNvPr id="211" name="CuadroTexto 210">
          <a:extLst>
            <a:ext uri="{FF2B5EF4-FFF2-40B4-BE49-F238E27FC236}">
              <a16:creationId xmlns:a16="http://schemas.microsoft.com/office/drawing/2014/main" id="{605F9FBB-9809-4538-AF25-A160FCCDE915}"/>
            </a:ext>
          </a:extLst>
        </xdr:cNvPr>
        <xdr:cNvSpPr txBox="1"/>
      </xdr:nvSpPr>
      <xdr:spPr>
        <a:xfrm>
          <a:off x="3648075" y="65779650"/>
          <a:ext cx="5153025" cy="1228725"/>
        </a:xfrm>
        <a:prstGeom prst="rect">
          <a:avLst/>
        </a:prstGeom>
        <a:solidFill>
          <a:schemeClr val="lt1"/>
        </a:solidFill>
        <a:ln w="9525" cmpd="sng">
          <a:solidFill>
            <a:srgbClr val="F7697D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Analisis:</a:t>
          </a:r>
        </a:p>
      </xdr:txBody>
    </xdr: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0.3274</cdr:x>
      <cdr:y>0.27158</cdr:y>
    </cdr:from>
    <cdr:to>
      <cdr:x>0.68167</cdr:x>
      <cdr:y>0.7378</cdr:y>
    </cdr:to>
    <cdr:sp macro="" textlink="">
      <cdr:nvSpPr>
        <cdr:cNvPr id="2" name="Elipse 1">
          <a:extLst xmlns:a="http://schemas.openxmlformats.org/drawingml/2006/main">
            <a:ext uri="{FF2B5EF4-FFF2-40B4-BE49-F238E27FC236}">
              <a16:creationId xmlns:a16="http://schemas.microsoft.com/office/drawing/2014/main" id="{02A474A3-2A6B-47AD-8FE5-6695B17727DC}"/>
            </a:ext>
          </a:extLst>
        </cdr:cNvPr>
        <cdr:cNvSpPr/>
      </cdr:nvSpPr>
      <cdr:spPr>
        <a:xfrm xmlns:a="http://schemas.openxmlformats.org/drawingml/2006/main">
          <a:off x="969848" y="649871"/>
          <a:ext cx="1049450" cy="1115645"/>
        </a:xfrm>
        <a:prstGeom xmlns:a="http://schemas.openxmlformats.org/drawingml/2006/main" prst="ellipse">
          <a:avLst/>
        </a:prstGeom>
        <a:solidFill xmlns:a="http://schemas.openxmlformats.org/drawingml/2006/main">
          <a:schemeClr val="accent1">
            <a:lumMod val="75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0.33274</cdr:x>
      <cdr:y>0.25442</cdr:y>
    </cdr:from>
    <cdr:to>
      <cdr:x>0.6634</cdr:x>
      <cdr:y>0.7424</cdr:y>
    </cdr:to>
    <cdr:sp macro="" textlink="">
      <cdr:nvSpPr>
        <cdr:cNvPr id="2" name="Elipse 1">
          <a:extLst xmlns:a="http://schemas.openxmlformats.org/drawingml/2006/main">
            <a:ext uri="{FF2B5EF4-FFF2-40B4-BE49-F238E27FC236}">
              <a16:creationId xmlns:a16="http://schemas.microsoft.com/office/drawing/2014/main" id="{02A474A3-2A6B-47AD-8FE5-6695B17727DC}"/>
            </a:ext>
          </a:extLst>
        </cdr:cNvPr>
        <cdr:cNvSpPr/>
      </cdr:nvSpPr>
      <cdr:spPr>
        <a:xfrm xmlns:a="http://schemas.openxmlformats.org/drawingml/2006/main">
          <a:off x="969809" y="526818"/>
          <a:ext cx="963766" cy="1010446"/>
        </a:xfrm>
        <a:prstGeom xmlns:a="http://schemas.openxmlformats.org/drawingml/2006/main" prst="ellipse">
          <a:avLst/>
        </a:prstGeom>
        <a:solidFill xmlns:a="http://schemas.openxmlformats.org/drawingml/2006/main">
          <a:schemeClr val="accent4">
            <a:lumMod val="60000"/>
            <a:lumOff val="4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 sz="105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0.33815</cdr:x>
      <cdr:y>0.26105</cdr:y>
    </cdr:from>
    <cdr:to>
      <cdr:x>0.65487</cdr:x>
      <cdr:y>0.73211</cdr:y>
    </cdr:to>
    <cdr:sp macro="" textlink="">
      <cdr:nvSpPr>
        <cdr:cNvPr id="2" name="Elipse 1">
          <a:extLst xmlns:a="http://schemas.openxmlformats.org/drawingml/2006/main">
            <a:ext uri="{FF2B5EF4-FFF2-40B4-BE49-F238E27FC236}">
              <a16:creationId xmlns:a16="http://schemas.microsoft.com/office/drawing/2014/main" id="{02A474A3-2A6B-47AD-8FE5-6695B17727DC}"/>
            </a:ext>
          </a:extLst>
        </cdr:cNvPr>
        <cdr:cNvSpPr/>
      </cdr:nvSpPr>
      <cdr:spPr>
        <a:xfrm xmlns:a="http://schemas.openxmlformats.org/drawingml/2006/main">
          <a:off x="1091876" y="566182"/>
          <a:ext cx="1022673" cy="1021671"/>
        </a:xfrm>
        <a:prstGeom xmlns:a="http://schemas.openxmlformats.org/drawingml/2006/main" prst="ellipse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0.32947</cdr:x>
      <cdr:y>0.25442</cdr:y>
    </cdr:from>
    <cdr:to>
      <cdr:x>0.66013</cdr:x>
      <cdr:y>0.747</cdr:y>
    </cdr:to>
    <cdr:sp macro="" textlink="">
      <cdr:nvSpPr>
        <cdr:cNvPr id="2" name="Elipse 1">
          <a:extLst xmlns:a="http://schemas.openxmlformats.org/drawingml/2006/main">
            <a:ext uri="{FF2B5EF4-FFF2-40B4-BE49-F238E27FC236}">
              <a16:creationId xmlns:a16="http://schemas.microsoft.com/office/drawing/2014/main" id="{02A474A3-2A6B-47AD-8FE5-6695B17727DC}"/>
            </a:ext>
          </a:extLst>
        </cdr:cNvPr>
        <cdr:cNvSpPr/>
      </cdr:nvSpPr>
      <cdr:spPr>
        <a:xfrm xmlns:a="http://schemas.openxmlformats.org/drawingml/2006/main">
          <a:off x="960284" y="526818"/>
          <a:ext cx="963766" cy="1019971"/>
        </a:xfrm>
        <a:prstGeom xmlns:a="http://schemas.openxmlformats.org/drawingml/2006/main" prst="ellipse">
          <a:avLst/>
        </a:prstGeom>
        <a:solidFill xmlns:a="http://schemas.openxmlformats.org/drawingml/2006/main">
          <a:schemeClr val="accent2">
            <a:lumMod val="60000"/>
            <a:lumOff val="4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0.336</cdr:x>
      <cdr:y>0.24982</cdr:y>
    </cdr:from>
    <cdr:to>
      <cdr:x>0.66013</cdr:x>
      <cdr:y>0.7378</cdr:y>
    </cdr:to>
    <cdr:sp macro="" textlink="">
      <cdr:nvSpPr>
        <cdr:cNvPr id="2" name="Elipse 1">
          <a:extLst xmlns:a="http://schemas.openxmlformats.org/drawingml/2006/main">
            <a:ext uri="{FF2B5EF4-FFF2-40B4-BE49-F238E27FC236}">
              <a16:creationId xmlns:a16="http://schemas.microsoft.com/office/drawing/2014/main" id="{02A474A3-2A6B-47AD-8FE5-6695B17727DC}"/>
            </a:ext>
          </a:extLst>
        </cdr:cNvPr>
        <cdr:cNvSpPr/>
      </cdr:nvSpPr>
      <cdr:spPr>
        <a:xfrm xmlns:a="http://schemas.openxmlformats.org/drawingml/2006/main">
          <a:off x="979334" y="517293"/>
          <a:ext cx="944716" cy="1010446"/>
        </a:xfrm>
        <a:prstGeom xmlns:a="http://schemas.openxmlformats.org/drawingml/2006/main" prst="ellipse">
          <a:avLst/>
        </a:prstGeom>
        <a:solidFill xmlns:a="http://schemas.openxmlformats.org/drawingml/2006/main">
          <a:srgbClr val="B889DB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0.336</cdr:x>
      <cdr:y>0.24982</cdr:y>
    </cdr:from>
    <cdr:to>
      <cdr:x>0.66013</cdr:x>
      <cdr:y>0.7378</cdr:y>
    </cdr:to>
    <cdr:sp macro="" textlink="">
      <cdr:nvSpPr>
        <cdr:cNvPr id="2" name="Elipse 1">
          <a:extLst xmlns:a="http://schemas.openxmlformats.org/drawingml/2006/main">
            <a:ext uri="{FF2B5EF4-FFF2-40B4-BE49-F238E27FC236}">
              <a16:creationId xmlns:a16="http://schemas.microsoft.com/office/drawing/2014/main" id="{02A474A3-2A6B-47AD-8FE5-6695B17727DC}"/>
            </a:ext>
          </a:extLst>
        </cdr:cNvPr>
        <cdr:cNvSpPr/>
      </cdr:nvSpPr>
      <cdr:spPr>
        <a:xfrm xmlns:a="http://schemas.openxmlformats.org/drawingml/2006/main">
          <a:off x="979334" y="517293"/>
          <a:ext cx="944716" cy="1010446"/>
        </a:xfrm>
        <a:prstGeom xmlns:a="http://schemas.openxmlformats.org/drawingml/2006/main" prst="ellipse">
          <a:avLst/>
        </a:prstGeom>
        <a:solidFill xmlns:a="http://schemas.openxmlformats.org/drawingml/2006/main">
          <a:schemeClr val="tx2">
            <a:lumMod val="60000"/>
            <a:lumOff val="4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0.336</cdr:x>
      <cdr:y>0.24982</cdr:y>
    </cdr:from>
    <cdr:to>
      <cdr:x>0.66013</cdr:x>
      <cdr:y>0.7378</cdr:y>
    </cdr:to>
    <cdr:sp macro="" textlink="">
      <cdr:nvSpPr>
        <cdr:cNvPr id="2" name="Elipse 1">
          <a:extLst xmlns:a="http://schemas.openxmlformats.org/drawingml/2006/main">
            <a:ext uri="{FF2B5EF4-FFF2-40B4-BE49-F238E27FC236}">
              <a16:creationId xmlns:a16="http://schemas.microsoft.com/office/drawing/2014/main" id="{02A474A3-2A6B-47AD-8FE5-6695B17727DC}"/>
            </a:ext>
          </a:extLst>
        </cdr:cNvPr>
        <cdr:cNvSpPr/>
      </cdr:nvSpPr>
      <cdr:spPr>
        <a:xfrm xmlns:a="http://schemas.openxmlformats.org/drawingml/2006/main">
          <a:off x="979334" y="517293"/>
          <a:ext cx="944716" cy="1010446"/>
        </a:xfrm>
        <a:prstGeom xmlns:a="http://schemas.openxmlformats.org/drawingml/2006/main" prst="ellipse">
          <a:avLst/>
        </a:prstGeom>
        <a:solidFill xmlns:a="http://schemas.openxmlformats.org/drawingml/2006/main">
          <a:srgbClr val="F7697D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0.336</cdr:x>
      <cdr:y>0.24982</cdr:y>
    </cdr:from>
    <cdr:to>
      <cdr:x>0.66013</cdr:x>
      <cdr:y>0.7378</cdr:y>
    </cdr:to>
    <cdr:sp macro="" textlink="">
      <cdr:nvSpPr>
        <cdr:cNvPr id="2" name="Elipse 1">
          <a:extLst xmlns:a="http://schemas.openxmlformats.org/drawingml/2006/main">
            <a:ext uri="{FF2B5EF4-FFF2-40B4-BE49-F238E27FC236}">
              <a16:creationId xmlns:a16="http://schemas.microsoft.com/office/drawing/2014/main" id="{02A474A3-2A6B-47AD-8FE5-6695B17727DC}"/>
            </a:ext>
          </a:extLst>
        </cdr:cNvPr>
        <cdr:cNvSpPr/>
      </cdr:nvSpPr>
      <cdr:spPr>
        <a:xfrm xmlns:a="http://schemas.openxmlformats.org/drawingml/2006/main">
          <a:off x="979334" y="517293"/>
          <a:ext cx="944716" cy="1010446"/>
        </a:xfrm>
        <a:prstGeom xmlns:a="http://schemas.openxmlformats.org/drawingml/2006/main" prst="ellipse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0.336</cdr:x>
      <cdr:y>0.24982</cdr:y>
    </cdr:from>
    <cdr:to>
      <cdr:x>0.66013</cdr:x>
      <cdr:y>0.7378</cdr:y>
    </cdr:to>
    <cdr:sp macro="" textlink="">
      <cdr:nvSpPr>
        <cdr:cNvPr id="2" name="Elipse 1">
          <a:extLst xmlns:a="http://schemas.openxmlformats.org/drawingml/2006/main">
            <a:ext uri="{FF2B5EF4-FFF2-40B4-BE49-F238E27FC236}">
              <a16:creationId xmlns:a16="http://schemas.microsoft.com/office/drawing/2014/main" id="{02A474A3-2A6B-47AD-8FE5-6695B17727DC}"/>
            </a:ext>
          </a:extLst>
        </cdr:cNvPr>
        <cdr:cNvSpPr/>
      </cdr:nvSpPr>
      <cdr:spPr>
        <a:xfrm xmlns:a="http://schemas.openxmlformats.org/drawingml/2006/main">
          <a:off x="979334" y="517293"/>
          <a:ext cx="944716" cy="1010446"/>
        </a:xfrm>
        <a:prstGeom xmlns:a="http://schemas.openxmlformats.org/drawingml/2006/main" prst="ellipse">
          <a:avLst/>
        </a:prstGeom>
        <a:solidFill xmlns:a="http://schemas.openxmlformats.org/drawingml/2006/main">
          <a:schemeClr val="accent2">
            <a:lumMod val="60000"/>
            <a:lumOff val="4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0.336</cdr:x>
      <cdr:y>0.24982</cdr:y>
    </cdr:from>
    <cdr:to>
      <cdr:x>0.66013</cdr:x>
      <cdr:y>0.7378</cdr:y>
    </cdr:to>
    <cdr:sp macro="" textlink="">
      <cdr:nvSpPr>
        <cdr:cNvPr id="2" name="Elipse 1">
          <a:extLst xmlns:a="http://schemas.openxmlformats.org/drawingml/2006/main">
            <a:ext uri="{FF2B5EF4-FFF2-40B4-BE49-F238E27FC236}">
              <a16:creationId xmlns:a16="http://schemas.microsoft.com/office/drawing/2014/main" id="{02A474A3-2A6B-47AD-8FE5-6695B17727DC}"/>
            </a:ext>
          </a:extLst>
        </cdr:cNvPr>
        <cdr:cNvSpPr/>
      </cdr:nvSpPr>
      <cdr:spPr>
        <a:xfrm xmlns:a="http://schemas.openxmlformats.org/drawingml/2006/main">
          <a:off x="979334" y="517293"/>
          <a:ext cx="944716" cy="1010446"/>
        </a:xfrm>
        <a:prstGeom xmlns:a="http://schemas.openxmlformats.org/drawingml/2006/main" prst="ellipse">
          <a:avLst/>
        </a:prstGeom>
        <a:solidFill xmlns:a="http://schemas.openxmlformats.org/drawingml/2006/main">
          <a:schemeClr val="tx2">
            <a:lumMod val="60000"/>
            <a:lumOff val="4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0.336</cdr:x>
      <cdr:y>0.24982</cdr:y>
    </cdr:from>
    <cdr:to>
      <cdr:x>0.66013</cdr:x>
      <cdr:y>0.7378</cdr:y>
    </cdr:to>
    <cdr:sp macro="" textlink="">
      <cdr:nvSpPr>
        <cdr:cNvPr id="2" name="Elipse 1">
          <a:extLst xmlns:a="http://schemas.openxmlformats.org/drawingml/2006/main">
            <a:ext uri="{FF2B5EF4-FFF2-40B4-BE49-F238E27FC236}">
              <a16:creationId xmlns:a16="http://schemas.microsoft.com/office/drawing/2014/main" id="{02A474A3-2A6B-47AD-8FE5-6695B17727DC}"/>
            </a:ext>
          </a:extLst>
        </cdr:cNvPr>
        <cdr:cNvSpPr/>
      </cdr:nvSpPr>
      <cdr:spPr>
        <a:xfrm xmlns:a="http://schemas.openxmlformats.org/drawingml/2006/main">
          <a:off x="979334" y="517293"/>
          <a:ext cx="944716" cy="1010446"/>
        </a:xfrm>
        <a:prstGeom xmlns:a="http://schemas.openxmlformats.org/drawingml/2006/main" prst="ellipse">
          <a:avLst/>
        </a:prstGeom>
        <a:solidFill xmlns:a="http://schemas.openxmlformats.org/drawingml/2006/main">
          <a:schemeClr val="bg2">
            <a:lumMod val="5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0.336</cdr:x>
      <cdr:y>0.24982</cdr:y>
    </cdr:from>
    <cdr:to>
      <cdr:x>0.66013</cdr:x>
      <cdr:y>0.7378</cdr:y>
    </cdr:to>
    <cdr:sp macro="" textlink="">
      <cdr:nvSpPr>
        <cdr:cNvPr id="2" name="Elipse 1">
          <a:extLst xmlns:a="http://schemas.openxmlformats.org/drawingml/2006/main">
            <a:ext uri="{FF2B5EF4-FFF2-40B4-BE49-F238E27FC236}">
              <a16:creationId xmlns:a16="http://schemas.microsoft.com/office/drawing/2014/main" id="{02A474A3-2A6B-47AD-8FE5-6695B17727DC}"/>
            </a:ext>
          </a:extLst>
        </cdr:cNvPr>
        <cdr:cNvSpPr/>
      </cdr:nvSpPr>
      <cdr:spPr>
        <a:xfrm xmlns:a="http://schemas.openxmlformats.org/drawingml/2006/main">
          <a:off x="979334" y="517293"/>
          <a:ext cx="944716" cy="1010446"/>
        </a:xfrm>
        <a:prstGeom xmlns:a="http://schemas.openxmlformats.org/drawingml/2006/main" prst="ellipse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0.336</cdr:x>
      <cdr:y>0.24982</cdr:y>
    </cdr:from>
    <cdr:to>
      <cdr:x>0.66013</cdr:x>
      <cdr:y>0.7378</cdr:y>
    </cdr:to>
    <cdr:sp macro="" textlink="">
      <cdr:nvSpPr>
        <cdr:cNvPr id="2" name="Elipse 1">
          <a:extLst xmlns:a="http://schemas.openxmlformats.org/drawingml/2006/main">
            <a:ext uri="{FF2B5EF4-FFF2-40B4-BE49-F238E27FC236}">
              <a16:creationId xmlns:a16="http://schemas.microsoft.com/office/drawing/2014/main" id="{02A474A3-2A6B-47AD-8FE5-6695B17727DC}"/>
            </a:ext>
          </a:extLst>
        </cdr:cNvPr>
        <cdr:cNvSpPr/>
      </cdr:nvSpPr>
      <cdr:spPr>
        <a:xfrm xmlns:a="http://schemas.openxmlformats.org/drawingml/2006/main">
          <a:off x="979334" y="517293"/>
          <a:ext cx="944716" cy="1010446"/>
        </a:xfrm>
        <a:prstGeom xmlns:a="http://schemas.openxmlformats.org/drawingml/2006/main" prst="ellipse">
          <a:avLst/>
        </a:prstGeom>
        <a:solidFill xmlns:a="http://schemas.openxmlformats.org/drawingml/2006/main">
          <a:schemeClr val="accent5">
            <a:lumMod val="60000"/>
            <a:lumOff val="4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0.336</cdr:x>
      <cdr:y>0.24982</cdr:y>
    </cdr:from>
    <cdr:to>
      <cdr:x>0.66013</cdr:x>
      <cdr:y>0.7378</cdr:y>
    </cdr:to>
    <cdr:sp macro="" textlink="">
      <cdr:nvSpPr>
        <cdr:cNvPr id="2" name="Elipse 1">
          <a:extLst xmlns:a="http://schemas.openxmlformats.org/drawingml/2006/main">
            <a:ext uri="{FF2B5EF4-FFF2-40B4-BE49-F238E27FC236}">
              <a16:creationId xmlns:a16="http://schemas.microsoft.com/office/drawing/2014/main" id="{02A474A3-2A6B-47AD-8FE5-6695B17727DC}"/>
            </a:ext>
          </a:extLst>
        </cdr:cNvPr>
        <cdr:cNvSpPr/>
      </cdr:nvSpPr>
      <cdr:spPr>
        <a:xfrm xmlns:a="http://schemas.openxmlformats.org/drawingml/2006/main">
          <a:off x="979334" y="517293"/>
          <a:ext cx="944716" cy="1010446"/>
        </a:xfrm>
        <a:prstGeom xmlns:a="http://schemas.openxmlformats.org/drawingml/2006/main" prst="ellipse">
          <a:avLst/>
        </a:prstGeom>
        <a:solidFill xmlns:a="http://schemas.openxmlformats.org/drawingml/2006/main">
          <a:schemeClr val="accent4">
            <a:lumMod val="60000"/>
            <a:lumOff val="4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0.336</cdr:x>
      <cdr:y>0.24982</cdr:y>
    </cdr:from>
    <cdr:to>
      <cdr:x>0.66013</cdr:x>
      <cdr:y>0.7378</cdr:y>
    </cdr:to>
    <cdr:sp macro="" textlink="">
      <cdr:nvSpPr>
        <cdr:cNvPr id="2" name="Elipse 1">
          <a:extLst xmlns:a="http://schemas.openxmlformats.org/drawingml/2006/main">
            <a:ext uri="{FF2B5EF4-FFF2-40B4-BE49-F238E27FC236}">
              <a16:creationId xmlns:a16="http://schemas.microsoft.com/office/drawing/2014/main" id="{02A474A3-2A6B-47AD-8FE5-6695B17727DC}"/>
            </a:ext>
          </a:extLst>
        </cdr:cNvPr>
        <cdr:cNvSpPr/>
      </cdr:nvSpPr>
      <cdr:spPr>
        <a:xfrm xmlns:a="http://schemas.openxmlformats.org/drawingml/2006/main">
          <a:off x="979334" y="517293"/>
          <a:ext cx="944716" cy="1010446"/>
        </a:xfrm>
        <a:prstGeom xmlns:a="http://schemas.openxmlformats.org/drawingml/2006/main" prst="ellipse">
          <a:avLst/>
        </a:prstGeom>
        <a:solidFill xmlns:a="http://schemas.openxmlformats.org/drawingml/2006/main">
          <a:srgbClr val="F7697D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0.336</cdr:x>
      <cdr:y>0.24982</cdr:y>
    </cdr:from>
    <cdr:to>
      <cdr:x>0.66013</cdr:x>
      <cdr:y>0.7378</cdr:y>
    </cdr:to>
    <cdr:sp macro="" textlink="">
      <cdr:nvSpPr>
        <cdr:cNvPr id="2" name="Elipse 1">
          <a:extLst xmlns:a="http://schemas.openxmlformats.org/drawingml/2006/main">
            <a:ext uri="{FF2B5EF4-FFF2-40B4-BE49-F238E27FC236}">
              <a16:creationId xmlns:a16="http://schemas.microsoft.com/office/drawing/2014/main" id="{02A474A3-2A6B-47AD-8FE5-6695B17727DC}"/>
            </a:ext>
          </a:extLst>
        </cdr:cNvPr>
        <cdr:cNvSpPr/>
      </cdr:nvSpPr>
      <cdr:spPr>
        <a:xfrm xmlns:a="http://schemas.openxmlformats.org/drawingml/2006/main">
          <a:off x="979334" y="517293"/>
          <a:ext cx="944716" cy="1010446"/>
        </a:xfrm>
        <a:prstGeom xmlns:a="http://schemas.openxmlformats.org/drawingml/2006/main" prst="ellipse">
          <a:avLst/>
        </a:prstGeom>
        <a:solidFill xmlns:a="http://schemas.openxmlformats.org/drawingml/2006/main">
          <a:schemeClr val="accent2">
            <a:lumMod val="60000"/>
            <a:lumOff val="4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0.336</cdr:x>
      <cdr:y>0.24982</cdr:y>
    </cdr:from>
    <cdr:to>
      <cdr:x>0.66013</cdr:x>
      <cdr:y>0.7378</cdr:y>
    </cdr:to>
    <cdr:sp macro="" textlink="">
      <cdr:nvSpPr>
        <cdr:cNvPr id="2" name="Elipse 1">
          <a:extLst xmlns:a="http://schemas.openxmlformats.org/drawingml/2006/main">
            <a:ext uri="{FF2B5EF4-FFF2-40B4-BE49-F238E27FC236}">
              <a16:creationId xmlns:a16="http://schemas.microsoft.com/office/drawing/2014/main" id="{02A474A3-2A6B-47AD-8FE5-6695B17727DC}"/>
            </a:ext>
          </a:extLst>
        </cdr:cNvPr>
        <cdr:cNvSpPr/>
      </cdr:nvSpPr>
      <cdr:spPr>
        <a:xfrm xmlns:a="http://schemas.openxmlformats.org/drawingml/2006/main">
          <a:off x="979334" y="517293"/>
          <a:ext cx="944716" cy="1010446"/>
        </a:xfrm>
        <a:prstGeom xmlns:a="http://schemas.openxmlformats.org/drawingml/2006/main" prst="ellipse">
          <a:avLst/>
        </a:prstGeom>
        <a:solidFill xmlns:a="http://schemas.openxmlformats.org/drawingml/2006/main">
          <a:schemeClr val="accent1">
            <a:lumMod val="60000"/>
            <a:lumOff val="4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0.336</cdr:x>
      <cdr:y>0.24982</cdr:y>
    </cdr:from>
    <cdr:to>
      <cdr:x>0.66013</cdr:x>
      <cdr:y>0.7378</cdr:y>
    </cdr:to>
    <cdr:sp macro="" textlink="">
      <cdr:nvSpPr>
        <cdr:cNvPr id="2" name="Elipse 1">
          <a:extLst xmlns:a="http://schemas.openxmlformats.org/drawingml/2006/main">
            <a:ext uri="{FF2B5EF4-FFF2-40B4-BE49-F238E27FC236}">
              <a16:creationId xmlns:a16="http://schemas.microsoft.com/office/drawing/2014/main" id="{02A474A3-2A6B-47AD-8FE5-6695B17727DC}"/>
            </a:ext>
          </a:extLst>
        </cdr:cNvPr>
        <cdr:cNvSpPr/>
      </cdr:nvSpPr>
      <cdr:spPr>
        <a:xfrm xmlns:a="http://schemas.openxmlformats.org/drawingml/2006/main">
          <a:off x="979334" y="517293"/>
          <a:ext cx="944716" cy="1010446"/>
        </a:xfrm>
        <a:prstGeom xmlns:a="http://schemas.openxmlformats.org/drawingml/2006/main" prst="ellipse">
          <a:avLst/>
        </a:prstGeom>
        <a:solidFill xmlns:a="http://schemas.openxmlformats.org/drawingml/2006/main">
          <a:schemeClr val="tx2">
            <a:lumMod val="60000"/>
            <a:lumOff val="4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0.336</cdr:x>
      <cdr:y>0.24982</cdr:y>
    </cdr:from>
    <cdr:to>
      <cdr:x>0.66013</cdr:x>
      <cdr:y>0.7378</cdr:y>
    </cdr:to>
    <cdr:sp macro="" textlink="">
      <cdr:nvSpPr>
        <cdr:cNvPr id="2" name="Elipse 1">
          <a:extLst xmlns:a="http://schemas.openxmlformats.org/drawingml/2006/main">
            <a:ext uri="{FF2B5EF4-FFF2-40B4-BE49-F238E27FC236}">
              <a16:creationId xmlns:a16="http://schemas.microsoft.com/office/drawing/2014/main" id="{02A474A3-2A6B-47AD-8FE5-6695B17727DC}"/>
            </a:ext>
          </a:extLst>
        </cdr:cNvPr>
        <cdr:cNvSpPr/>
      </cdr:nvSpPr>
      <cdr:spPr>
        <a:xfrm xmlns:a="http://schemas.openxmlformats.org/drawingml/2006/main">
          <a:off x="979334" y="517293"/>
          <a:ext cx="944716" cy="1010446"/>
        </a:xfrm>
        <a:prstGeom xmlns:a="http://schemas.openxmlformats.org/drawingml/2006/main" prst="ellipse">
          <a:avLst/>
        </a:prstGeom>
        <a:solidFill xmlns:a="http://schemas.openxmlformats.org/drawingml/2006/main">
          <a:schemeClr val="bg2">
            <a:lumMod val="5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0.336</cdr:x>
      <cdr:y>0.24982</cdr:y>
    </cdr:from>
    <cdr:to>
      <cdr:x>0.66013</cdr:x>
      <cdr:y>0.7378</cdr:y>
    </cdr:to>
    <cdr:sp macro="" textlink="">
      <cdr:nvSpPr>
        <cdr:cNvPr id="2" name="Elipse 1">
          <a:extLst xmlns:a="http://schemas.openxmlformats.org/drawingml/2006/main">
            <a:ext uri="{FF2B5EF4-FFF2-40B4-BE49-F238E27FC236}">
              <a16:creationId xmlns:a16="http://schemas.microsoft.com/office/drawing/2014/main" id="{02A474A3-2A6B-47AD-8FE5-6695B17727DC}"/>
            </a:ext>
          </a:extLst>
        </cdr:cNvPr>
        <cdr:cNvSpPr/>
      </cdr:nvSpPr>
      <cdr:spPr>
        <a:xfrm xmlns:a="http://schemas.openxmlformats.org/drawingml/2006/main">
          <a:off x="979334" y="517293"/>
          <a:ext cx="944716" cy="1010446"/>
        </a:xfrm>
        <a:prstGeom xmlns:a="http://schemas.openxmlformats.org/drawingml/2006/main" prst="ellipse">
          <a:avLst/>
        </a:prstGeom>
        <a:solidFill xmlns:a="http://schemas.openxmlformats.org/drawingml/2006/main">
          <a:srgbClr val="F7697D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16.0.20\Carpetas%20de%20usuarios\Documents%20and%20Settings\91080117\Escritorio\Monica%20Yate\Contrato%202010%20-%202012\DIGITALIZACION%20CALIMAS\PROYECCION%202014\ESTADISTICAS%20POR%20FUNCIONARIO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ATHERINE"/>
      <sheetName val="LINDA"/>
      <sheetName val="JOHN"/>
      <sheetName val="LEIDY"/>
      <sheetName val="JOSE"/>
      <sheetName val="LAURA"/>
      <sheetName val="KAREN"/>
      <sheetName val="ANDRES"/>
      <sheetName val="PAULA"/>
      <sheetName val="ADRIANA"/>
      <sheetName val="Hoja4"/>
      <sheetName val="Hoja1"/>
      <sheetName val="Hoja2"/>
      <sheetName val="Hoja3"/>
      <sheetName val="PROCES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8">
          <cell r="B8" t="str">
            <v>ORDENACION Y CLASIFICACION</v>
          </cell>
        </row>
        <row r="9">
          <cell r="B9" t="str">
            <v>RECEPCIÓN</v>
          </cell>
        </row>
        <row r="10">
          <cell r="B10" t="str">
            <v>ARCHIVO FISICO</v>
          </cell>
        </row>
        <row r="11">
          <cell r="B11" t="str">
            <v>UNIFICACION</v>
          </cell>
        </row>
        <row r="12">
          <cell r="B12" t="str">
            <v>FOLIACION</v>
          </cell>
        </row>
        <row r="13">
          <cell r="B13" t="str">
            <v>APERTURA UA</v>
          </cell>
        </row>
        <row r="14">
          <cell r="B14" t="str">
            <v>CIERRE UA</v>
          </cell>
        </row>
        <row r="15">
          <cell r="B15" t="str">
            <v>CONSULTA POR EXPEDIENTE</v>
          </cell>
        </row>
        <row r="16">
          <cell r="B16" t="str">
            <v>CONSULTA POR IMAGEN</v>
          </cell>
        </row>
        <row r="24">
          <cell r="B24" t="str">
            <v>ADQUISICION MATERIAL BIBLIOGRAFICO</v>
          </cell>
        </row>
        <row r="25">
          <cell r="B25" t="str">
            <v>APERTURA UNIDADES BIBLIOGRAFICAS</v>
          </cell>
        </row>
        <row r="26">
          <cell r="B26" t="str">
            <v>PROCESO TECNICO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G25"/>
  <sheetViews>
    <sheetView zoomScale="80" zoomScaleNormal="8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G14" sqref="G14"/>
    </sheetView>
  </sheetViews>
  <sheetFormatPr baseColWidth="10" defaultRowHeight="15"/>
  <cols>
    <col min="1" max="1" width="28.5703125" style="7" customWidth="1"/>
    <col min="2" max="2" width="13.28515625" style="2" customWidth="1"/>
    <col min="3" max="3" width="63.5703125" style="1" customWidth="1"/>
    <col min="4" max="4" width="22.28515625" style="1" hidden="1" customWidth="1"/>
    <col min="5" max="5" width="21.28515625" style="3" hidden="1" customWidth="1"/>
    <col min="6" max="6" width="22.85546875" style="4" hidden="1" customWidth="1"/>
    <col min="7" max="7" width="51" style="1" bestFit="1" customWidth="1"/>
    <col min="8" max="16384" width="11.42578125" style="1"/>
  </cols>
  <sheetData>
    <row r="1" spans="1:7">
      <c r="A1" s="80"/>
      <c r="B1" s="80"/>
      <c r="C1" s="81" t="s">
        <v>53</v>
      </c>
      <c r="D1" s="81"/>
      <c r="E1" s="81"/>
      <c r="F1" s="82" t="s">
        <v>152</v>
      </c>
      <c r="G1" s="82"/>
    </row>
    <row r="2" spans="1:7">
      <c r="A2" s="80"/>
      <c r="B2" s="80"/>
      <c r="C2" s="81" t="s">
        <v>54</v>
      </c>
      <c r="D2" s="81"/>
      <c r="E2" s="81"/>
      <c r="F2" s="83" t="s">
        <v>153</v>
      </c>
      <c r="G2" s="83"/>
    </row>
    <row r="3" spans="1:7">
      <c r="A3" s="80"/>
      <c r="B3" s="80"/>
      <c r="C3" s="81" t="s">
        <v>55</v>
      </c>
      <c r="D3" s="81"/>
      <c r="E3" s="81"/>
      <c r="F3" s="83" t="s">
        <v>154</v>
      </c>
      <c r="G3" s="83"/>
    </row>
    <row r="4" spans="1:7">
      <c r="A4" s="80"/>
      <c r="B4" s="80"/>
      <c r="C4" s="81" t="s">
        <v>156</v>
      </c>
      <c r="D4" s="81"/>
      <c r="E4" s="81"/>
      <c r="F4" s="83" t="s">
        <v>155</v>
      </c>
      <c r="G4" s="83"/>
    </row>
    <row r="5" spans="1:7" ht="30">
      <c r="A5" s="9" t="s">
        <v>14</v>
      </c>
      <c r="B5" s="10" t="s">
        <v>15</v>
      </c>
      <c r="C5" s="10" t="s">
        <v>16</v>
      </c>
      <c r="D5" s="11" t="s">
        <v>52</v>
      </c>
      <c r="E5" s="11" t="s">
        <v>17</v>
      </c>
      <c r="F5" s="11" t="s">
        <v>18</v>
      </c>
      <c r="G5" s="10" t="s">
        <v>19</v>
      </c>
    </row>
    <row r="6" spans="1:7">
      <c r="A6" s="79" t="s">
        <v>120</v>
      </c>
      <c r="B6" s="34" t="s">
        <v>25</v>
      </c>
      <c r="C6" s="6" t="s">
        <v>127</v>
      </c>
      <c r="D6" s="72">
        <v>700</v>
      </c>
      <c r="E6" s="5">
        <f t="shared" ref="E6" si="0">+D6/9</f>
        <v>77.777777777777771</v>
      </c>
      <c r="F6" s="5">
        <f>E6/60</f>
        <v>1.2962962962962963</v>
      </c>
      <c r="G6" s="8" t="s">
        <v>20</v>
      </c>
    </row>
    <row r="7" spans="1:7">
      <c r="A7" s="79"/>
      <c r="B7" s="34" t="s">
        <v>28</v>
      </c>
      <c r="C7" s="6" t="s">
        <v>128</v>
      </c>
      <c r="D7" s="72">
        <v>50</v>
      </c>
      <c r="E7" s="5">
        <f>D7/9</f>
        <v>5.5555555555555554</v>
      </c>
      <c r="F7" s="5">
        <f>E7/60</f>
        <v>9.2592592592592587E-2</v>
      </c>
      <c r="G7" s="8" t="s">
        <v>20</v>
      </c>
    </row>
    <row r="8" spans="1:7">
      <c r="A8" s="79"/>
      <c r="B8" s="34" t="s">
        <v>30</v>
      </c>
      <c r="C8" s="6" t="s">
        <v>129</v>
      </c>
      <c r="D8" s="72">
        <v>40</v>
      </c>
      <c r="E8" s="5">
        <f t="shared" ref="E8:E15" si="1">+D8/9</f>
        <v>4.4444444444444446</v>
      </c>
      <c r="F8" s="5">
        <f>+E8/60</f>
        <v>7.4074074074074084E-2</v>
      </c>
      <c r="G8" s="8" t="s">
        <v>22</v>
      </c>
    </row>
    <row r="9" spans="1:7">
      <c r="A9" s="79"/>
      <c r="B9" s="34" t="s">
        <v>31</v>
      </c>
      <c r="C9" s="6" t="s">
        <v>130</v>
      </c>
      <c r="D9" s="72">
        <v>60</v>
      </c>
      <c r="E9" s="5">
        <f t="shared" si="1"/>
        <v>6.666666666666667</v>
      </c>
      <c r="F9" s="5">
        <f>+E9/60</f>
        <v>0.11111111111111112</v>
      </c>
      <c r="G9" s="8" t="s">
        <v>22</v>
      </c>
    </row>
    <row r="10" spans="1:7">
      <c r="A10" s="79"/>
      <c r="B10" s="34" t="s">
        <v>122</v>
      </c>
      <c r="C10" s="6" t="s">
        <v>131</v>
      </c>
      <c r="D10" s="72">
        <v>630</v>
      </c>
      <c r="E10" s="5">
        <f t="shared" si="1"/>
        <v>70</v>
      </c>
      <c r="F10" s="5">
        <f>+E10/60</f>
        <v>1.1666666666666667</v>
      </c>
      <c r="G10" s="8" t="s">
        <v>27</v>
      </c>
    </row>
    <row r="11" spans="1:7">
      <c r="A11" s="79"/>
      <c r="B11" s="34" t="s">
        <v>33</v>
      </c>
      <c r="C11" s="6" t="s">
        <v>132</v>
      </c>
      <c r="D11" s="72">
        <v>60</v>
      </c>
      <c r="E11" s="5">
        <f t="shared" si="1"/>
        <v>6.666666666666667</v>
      </c>
      <c r="F11" s="5">
        <f>+E11/60</f>
        <v>0.11111111111111112</v>
      </c>
      <c r="G11" s="8" t="s">
        <v>27</v>
      </c>
    </row>
    <row r="12" spans="1:7">
      <c r="A12" s="79"/>
      <c r="B12" s="34" t="s">
        <v>35</v>
      </c>
      <c r="C12" s="6" t="s">
        <v>133</v>
      </c>
      <c r="D12" s="72">
        <v>1800</v>
      </c>
      <c r="E12" s="5">
        <f t="shared" si="1"/>
        <v>200</v>
      </c>
      <c r="F12" s="5">
        <f>+E12/60</f>
        <v>3.3333333333333335</v>
      </c>
      <c r="G12" s="8" t="s">
        <v>24</v>
      </c>
    </row>
    <row r="13" spans="1:7">
      <c r="A13" s="79"/>
      <c r="B13" s="34" t="s">
        <v>37</v>
      </c>
      <c r="C13" s="6" t="s">
        <v>134</v>
      </c>
      <c r="D13" s="72">
        <v>500</v>
      </c>
      <c r="E13" s="5">
        <f t="shared" si="1"/>
        <v>55.555555555555557</v>
      </c>
      <c r="F13" s="5">
        <f t="shared" ref="F13:F25" si="2">+E13/60</f>
        <v>0.92592592592592593</v>
      </c>
      <c r="G13" s="8" t="s">
        <v>27</v>
      </c>
    </row>
    <row r="14" spans="1:7">
      <c r="A14" s="79"/>
      <c r="B14" s="34" t="s">
        <v>38</v>
      </c>
      <c r="C14" s="6" t="s">
        <v>135</v>
      </c>
      <c r="D14" s="72">
        <v>1836</v>
      </c>
      <c r="E14" s="5">
        <f t="shared" si="1"/>
        <v>204</v>
      </c>
      <c r="F14" s="5">
        <f t="shared" si="2"/>
        <v>3.4</v>
      </c>
      <c r="G14" s="8" t="s">
        <v>24</v>
      </c>
    </row>
    <row r="15" spans="1:7">
      <c r="A15" s="79"/>
      <c r="B15" s="34" t="s">
        <v>40</v>
      </c>
      <c r="C15" s="6" t="s">
        <v>136</v>
      </c>
      <c r="D15" s="72">
        <v>600</v>
      </c>
      <c r="E15" s="5">
        <f t="shared" si="1"/>
        <v>66.666666666666671</v>
      </c>
      <c r="F15" s="5">
        <f t="shared" si="2"/>
        <v>1.1111111111111112</v>
      </c>
      <c r="G15" s="8" t="s">
        <v>27</v>
      </c>
    </row>
    <row r="16" spans="1:7">
      <c r="A16" s="79"/>
      <c r="B16" s="34" t="s">
        <v>42</v>
      </c>
      <c r="C16" s="6" t="s">
        <v>137</v>
      </c>
      <c r="D16" s="72">
        <v>2430</v>
      </c>
      <c r="E16" s="5">
        <f>D16/9</f>
        <v>270</v>
      </c>
      <c r="F16" s="5">
        <f t="shared" si="2"/>
        <v>4.5</v>
      </c>
      <c r="G16" s="8" t="s">
        <v>24</v>
      </c>
    </row>
    <row r="17" spans="1:7">
      <c r="A17" s="79"/>
      <c r="B17" s="34" t="s">
        <v>45</v>
      </c>
      <c r="C17" s="6" t="s">
        <v>138</v>
      </c>
      <c r="D17" s="72">
        <v>7344</v>
      </c>
      <c r="E17" s="5">
        <f t="shared" ref="E17:E25" si="3">+D17/9</f>
        <v>816</v>
      </c>
      <c r="F17" s="5">
        <f t="shared" si="2"/>
        <v>13.6</v>
      </c>
      <c r="G17" s="8" t="s">
        <v>24</v>
      </c>
    </row>
    <row r="18" spans="1:7" ht="14.25" customHeight="1">
      <c r="A18" s="79"/>
      <c r="B18" s="34" t="s">
        <v>48</v>
      </c>
      <c r="C18" s="6" t="s">
        <v>139</v>
      </c>
      <c r="D18" s="72">
        <v>7610</v>
      </c>
      <c r="E18" s="5">
        <f t="shared" si="3"/>
        <v>845.55555555555554</v>
      </c>
      <c r="F18" s="5">
        <f t="shared" si="2"/>
        <v>14.092592592592592</v>
      </c>
      <c r="G18" s="8" t="s">
        <v>24</v>
      </c>
    </row>
    <row r="19" spans="1:7" ht="14.25" customHeight="1">
      <c r="A19" s="79"/>
      <c r="B19" s="34" t="s">
        <v>49</v>
      </c>
      <c r="C19" s="6" t="s">
        <v>140</v>
      </c>
      <c r="D19" s="72">
        <v>1600</v>
      </c>
      <c r="E19" s="5">
        <f t="shared" si="3"/>
        <v>177.77777777777777</v>
      </c>
      <c r="F19" s="5">
        <f t="shared" si="2"/>
        <v>2.9629629629629628</v>
      </c>
      <c r="G19" s="8" t="s">
        <v>24</v>
      </c>
    </row>
    <row r="20" spans="1:7" ht="14.25" customHeight="1">
      <c r="A20" s="79"/>
      <c r="B20" s="34" t="s">
        <v>117</v>
      </c>
      <c r="C20" s="6" t="s">
        <v>141</v>
      </c>
      <c r="D20" s="72">
        <v>90</v>
      </c>
      <c r="E20" s="5">
        <f t="shared" si="3"/>
        <v>10</v>
      </c>
      <c r="F20" s="5">
        <f t="shared" si="2"/>
        <v>0.16666666666666666</v>
      </c>
      <c r="G20" s="8" t="s">
        <v>24</v>
      </c>
    </row>
    <row r="21" spans="1:7" ht="14.25" customHeight="1">
      <c r="A21" s="79"/>
      <c r="B21" s="34" t="s">
        <v>118</v>
      </c>
      <c r="C21" s="6" t="s">
        <v>119</v>
      </c>
      <c r="D21" s="72">
        <v>6903</v>
      </c>
      <c r="E21" s="5">
        <f t="shared" si="3"/>
        <v>767</v>
      </c>
      <c r="F21" s="5">
        <f t="shared" si="2"/>
        <v>12.783333333333333</v>
      </c>
      <c r="G21" s="8" t="s">
        <v>20</v>
      </c>
    </row>
    <row r="22" spans="1:7" ht="14.25" customHeight="1">
      <c r="A22" s="79"/>
      <c r="B22" s="71" t="s">
        <v>123</v>
      </c>
      <c r="C22" s="6" t="s">
        <v>142</v>
      </c>
      <c r="D22" s="72">
        <v>4000</v>
      </c>
      <c r="E22" s="5">
        <f t="shared" si="3"/>
        <v>444.44444444444446</v>
      </c>
      <c r="F22" s="5">
        <f t="shared" si="2"/>
        <v>7.4074074074074074</v>
      </c>
      <c r="G22" s="8" t="s">
        <v>20</v>
      </c>
    </row>
    <row r="23" spans="1:7" ht="14.25" customHeight="1">
      <c r="A23" s="79"/>
      <c r="B23" s="34" t="s">
        <v>124</v>
      </c>
      <c r="C23" s="6" t="s">
        <v>143</v>
      </c>
      <c r="D23" s="72">
        <v>2196</v>
      </c>
      <c r="E23" s="5">
        <f t="shared" si="3"/>
        <v>244</v>
      </c>
      <c r="F23" s="5">
        <f t="shared" si="2"/>
        <v>4.0666666666666664</v>
      </c>
      <c r="G23" s="8" t="s">
        <v>47</v>
      </c>
    </row>
    <row r="24" spans="1:7" ht="14.25" customHeight="1">
      <c r="A24" s="79"/>
      <c r="B24" s="34" t="s">
        <v>125</v>
      </c>
      <c r="C24" s="6" t="s">
        <v>144</v>
      </c>
      <c r="D24" s="72">
        <v>5589</v>
      </c>
      <c r="E24" s="5">
        <f t="shared" si="3"/>
        <v>621</v>
      </c>
      <c r="F24" s="5">
        <f t="shared" si="2"/>
        <v>10.35</v>
      </c>
      <c r="G24" s="8" t="s">
        <v>44</v>
      </c>
    </row>
    <row r="25" spans="1:7" ht="14.25" customHeight="1">
      <c r="A25" s="79"/>
      <c r="B25" s="34" t="s">
        <v>126</v>
      </c>
      <c r="C25" s="6" t="s">
        <v>145</v>
      </c>
      <c r="D25" s="72">
        <v>150</v>
      </c>
      <c r="E25" s="5">
        <f t="shared" si="3"/>
        <v>16.666666666666668</v>
      </c>
      <c r="F25" s="5">
        <f t="shared" si="2"/>
        <v>0.27777777777777779</v>
      </c>
      <c r="G25" s="8" t="s">
        <v>151</v>
      </c>
    </row>
  </sheetData>
  <sheetProtection algorithmName="SHA-512" hashValue="3o9PwziSiOjEAy59zG2M7oTpwPZ7awS/RjvpSIdEdKWiMtosB/i1oosl20krX+nawZwWTtLl3T+Dz0KC8AguEw==" saltValue="6/s4XYNvUQiOjtRsgx6ulg==" spinCount="100000" sheet="1" selectLockedCells="1" autoFilter="0"/>
  <mergeCells count="10">
    <mergeCell ref="A6:A25"/>
    <mergeCell ref="A1:B4"/>
    <mergeCell ref="C4:E4"/>
    <mergeCell ref="F1:G1"/>
    <mergeCell ref="F2:G2"/>
    <mergeCell ref="F3:G3"/>
    <mergeCell ref="F4:G4"/>
    <mergeCell ref="C1:E1"/>
    <mergeCell ref="C2:E2"/>
    <mergeCell ref="C3:E3"/>
  </mergeCells>
  <pageMargins left="0.74803149606299213" right="0.74803149606299213" top="0.98425196850393704" bottom="0.98425196850393704" header="0" footer="0"/>
  <pageSetup scale="50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B1:K172"/>
  <sheetViews>
    <sheetView showGridLines="0" zoomScale="98" zoomScaleNormal="98" workbookViewId="0">
      <selection activeCell="C6" sqref="C6"/>
    </sheetView>
  </sheetViews>
  <sheetFormatPr baseColWidth="10" defaultRowHeight="15"/>
  <cols>
    <col min="7" max="7" width="12" customWidth="1"/>
    <col min="8" max="8" width="14.28515625" style="12" customWidth="1"/>
    <col min="9" max="9" width="9.7109375" style="12" customWidth="1"/>
    <col min="10" max="10" width="71" style="12" customWidth="1"/>
    <col min="11" max="11" width="11.42578125" style="57" hidden="1" customWidth="1"/>
    <col min="12" max="12" width="30.140625" bestFit="1" customWidth="1"/>
    <col min="14" max="14" width="30.140625" bestFit="1" customWidth="1"/>
    <col min="16" max="16" width="75.7109375" bestFit="1" customWidth="1"/>
  </cols>
  <sheetData>
    <row r="1" spans="2:11">
      <c r="H1"/>
      <c r="I1"/>
      <c r="J1"/>
    </row>
    <row r="2" spans="2:11">
      <c r="H2"/>
      <c r="I2"/>
      <c r="J2"/>
    </row>
    <row r="3" spans="2:11" ht="31.5" customHeight="1">
      <c r="H3" s="35" t="s">
        <v>14</v>
      </c>
      <c r="I3" s="36" t="s">
        <v>15</v>
      </c>
      <c r="J3" s="36" t="s">
        <v>16</v>
      </c>
    </row>
    <row r="4" spans="2:11">
      <c r="H4" s="86" t="s">
        <v>120</v>
      </c>
      <c r="I4" s="34" t="s">
        <v>25</v>
      </c>
      <c r="J4" s="6" t="s">
        <v>62</v>
      </c>
      <c r="K4" s="6" t="s">
        <v>127</v>
      </c>
    </row>
    <row r="5" spans="2:11">
      <c r="H5" s="87"/>
      <c r="I5" s="34" t="s">
        <v>28</v>
      </c>
      <c r="J5" s="6" t="s">
        <v>61</v>
      </c>
      <c r="K5" s="6" t="s">
        <v>128</v>
      </c>
    </row>
    <row r="6" spans="2:11">
      <c r="B6" s="30" t="s">
        <v>63</v>
      </c>
      <c r="C6" s="46" t="s">
        <v>158</v>
      </c>
      <c r="D6" s="46" t="s">
        <v>160</v>
      </c>
      <c r="E6" s="32"/>
      <c r="H6" s="87"/>
      <c r="I6" s="34" t="s">
        <v>30</v>
      </c>
      <c r="J6" s="6" t="s">
        <v>21</v>
      </c>
      <c r="K6" s="6" t="s">
        <v>129</v>
      </c>
    </row>
    <row r="7" spans="2:11">
      <c r="B7" s="30"/>
      <c r="H7" s="87"/>
      <c r="I7" s="34" t="s">
        <v>31</v>
      </c>
      <c r="J7" s="6" t="s">
        <v>23</v>
      </c>
      <c r="K7" s="6" t="s">
        <v>130</v>
      </c>
    </row>
    <row r="8" spans="2:11">
      <c r="B8" s="30" t="s">
        <v>64</v>
      </c>
      <c r="C8" s="55" t="s">
        <v>25</v>
      </c>
      <c r="D8" s="55"/>
      <c r="E8" s="55"/>
      <c r="H8" s="87"/>
      <c r="I8" s="34" t="s">
        <v>122</v>
      </c>
      <c r="J8" s="6" t="s">
        <v>26</v>
      </c>
      <c r="K8" s="6" t="s">
        <v>131</v>
      </c>
    </row>
    <row r="9" spans="2:11">
      <c r="B9" s="30"/>
      <c r="F9" s="29"/>
      <c r="H9" s="87"/>
      <c r="I9" s="34" t="s">
        <v>33</v>
      </c>
      <c r="J9" s="6" t="s">
        <v>29</v>
      </c>
      <c r="K9" s="6" t="s">
        <v>132</v>
      </c>
    </row>
    <row r="10" spans="2:11">
      <c r="B10" s="30" t="s">
        <v>65</v>
      </c>
      <c r="C10" s="33">
        <v>44876</v>
      </c>
      <c r="H10" s="87"/>
      <c r="I10" s="34" t="s">
        <v>35</v>
      </c>
      <c r="J10" s="6" t="s">
        <v>41</v>
      </c>
      <c r="K10" s="6" t="s">
        <v>133</v>
      </c>
    </row>
    <row r="11" spans="2:11">
      <c r="B11" s="30"/>
      <c r="H11" s="87"/>
      <c r="I11" s="34" t="s">
        <v>37</v>
      </c>
      <c r="J11" s="6" t="s">
        <v>13</v>
      </c>
      <c r="K11" s="6" t="s">
        <v>134</v>
      </c>
    </row>
    <row r="12" spans="2:11">
      <c r="B12" s="30" t="s">
        <v>67</v>
      </c>
      <c r="C12" s="55">
        <v>700</v>
      </c>
      <c r="H12" s="87"/>
      <c r="I12" s="34" t="s">
        <v>38</v>
      </c>
      <c r="J12" s="6" t="s">
        <v>36</v>
      </c>
      <c r="K12" s="6" t="s">
        <v>135</v>
      </c>
    </row>
    <row r="13" spans="2:11">
      <c r="B13" s="30"/>
      <c r="C13" s="41"/>
      <c r="H13" s="87"/>
      <c r="I13" s="34" t="s">
        <v>40</v>
      </c>
      <c r="J13" s="6" t="s">
        <v>32</v>
      </c>
      <c r="K13" s="6" t="s">
        <v>136</v>
      </c>
    </row>
    <row r="14" spans="2:11">
      <c r="B14" s="30" t="s">
        <v>66</v>
      </c>
      <c r="C14" s="42">
        <v>0.29166666666666669</v>
      </c>
      <c r="H14" s="87"/>
      <c r="I14" s="34" t="s">
        <v>42</v>
      </c>
      <c r="J14" s="6" t="s">
        <v>39</v>
      </c>
      <c r="K14" s="6" t="s">
        <v>137</v>
      </c>
    </row>
    <row r="15" spans="2:11">
      <c r="B15" s="30"/>
      <c r="C15" s="41"/>
      <c r="H15" s="87"/>
      <c r="I15" s="34" t="s">
        <v>45</v>
      </c>
      <c r="J15" s="6" t="s">
        <v>34</v>
      </c>
      <c r="K15" s="6" t="s">
        <v>138</v>
      </c>
    </row>
    <row r="16" spans="2:11">
      <c r="B16" s="30" t="s">
        <v>68</v>
      </c>
      <c r="C16" s="55" t="s">
        <v>159</v>
      </c>
      <c r="D16" s="55"/>
      <c r="E16" s="55"/>
      <c r="F16" s="31"/>
      <c r="H16" s="87"/>
      <c r="I16" s="34" t="s">
        <v>48</v>
      </c>
      <c r="J16" s="6" t="s">
        <v>146</v>
      </c>
      <c r="K16" s="6" t="s">
        <v>139</v>
      </c>
    </row>
    <row r="17" spans="3:11">
      <c r="C17" s="43"/>
      <c r="H17" s="87"/>
      <c r="I17" s="34" t="s">
        <v>49</v>
      </c>
      <c r="J17" s="6" t="s">
        <v>147</v>
      </c>
      <c r="K17" s="6" t="s">
        <v>140</v>
      </c>
    </row>
    <row r="18" spans="3:11">
      <c r="C18" s="43"/>
      <c r="H18" s="87"/>
      <c r="I18" s="34" t="s">
        <v>117</v>
      </c>
      <c r="J18" s="6" t="s">
        <v>148</v>
      </c>
      <c r="K18" s="6" t="s">
        <v>141</v>
      </c>
    </row>
    <row r="19" spans="3:11">
      <c r="H19" s="87"/>
      <c r="I19" s="34" t="s">
        <v>118</v>
      </c>
      <c r="J19" s="6" t="s">
        <v>149</v>
      </c>
      <c r="K19" s="6" t="s">
        <v>119</v>
      </c>
    </row>
    <row r="20" spans="3:11">
      <c r="H20" s="87"/>
      <c r="I20" s="71" t="s">
        <v>123</v>
      </c>
      <c r="J20" s="6" t="s">
        <v>150</v>
      </c>
      <c r="K20" s="6" t="s">
        <v>142</v>
      </c>
    </row>
    <row r="21" spans="3:11">
      <c r="H21" s="87"/>
      <c r="I21" s="34" t="s">
        <v>124</v>
      </c>
      <c r="J21" s="6" t="s">
        <v>46</v>
      </c>
      <c r="K21" s="6" t="s">
        <v>143</v>
      </c>
    </row>
    <row r="22" spans="3:11">
      <c r="H22" s="87"/>
      <c r="I22" s="34" t="s">
        <v>125</v>
      </c>
      <c r="J22" s="6" t="s">
        <v>43</v>
      </c>
      <c r="K22" s="6" t="s">
        <v>144</v>
      </c>
    </row>
    <row r="23" spans="3:11">
      <c r="H23" s="88"/>
      <c r="I23" s="34" t="s">
        <v>126</v>
      </c>
      <c r="J23" s="6" t="s">
        <v>121</v>
      </c>
      <c r="K23" s="6" t="s">
        <v>145</v>
      </c>
    </row>
    <row r="24" spans="3:11">
      <c r="H24" s="76"/>
      <c r="I24" s="77"/>
      <c r="J24" s="78"/>
    </row>
    <row r="25" spans="3:11">
      <c r="H25" s="73"/>
      <c r="I25" s="74"/>
      <c r="J25" s="69"/>
    </row>
    <row r="26" spans="3:11">
      <c r="H26" s="73"/>
      <c r="I26" s="74"/>
      <c r="J26" s="69"/>
    </row>
    <row r="27" spans="3:11">
      <c r="H27" s="73"/>
      <c r="I27" s="74"/>
      <c r="J27" s="69"/>
    </row>
    <row r="28" spans="3:11">
      <c r="H28" s="73"/>
      <c r="I28" s="74"/>
      <c r="J28" s="69"/>
    </row>
    <row r="29" spans="3:11">
      <c r="H29" s="73"/>
      <c r="I29" s="74"/>
      <c r="J29" s="69"/>
    </row>
    <row r="30" spans="3:11">
      <c r="H30" s="73"/>
      <c r="I30" s="74"/>
      <c r="J30" s="69"/>
    </row>
    <row r="31" spans="3:11">
      <c r="H31" s="73"/>
      <c r="I31" s="74"/>
      <c r="J31" s="69"/>
    </row>
    <row r="32" spans="3:11">
      <c r="H32" s="73"/>
      <c r="I32" s="74"/>
      <c r="J32" s="69"/>
    </row>
    <row r="33" spans="2:10">
      <c r="H33" s="73"/>
      <c r="I33" s="74"/>
      <c r="J33" s="69"/>
    </row>
    <row r="34" spans="2:10">
      <c r="H34" s="73"/>
      <c r="I34" s="74"/>
      <c r="J34" s="69"/>
    </row>
    <row r="35" spans="2:10">
      <c r="H35" s="73"/>
      <c r="I35" s="74"/>
      <c r="J35" s="69"/>
    </row>
    <row r="36" spans="2:10">
      <c r="B36" s="30"/>
      <c r="H36" s="73"/>
      <c r="I36" s="74"/>
      <c r="J36" s="69"/>
    </row>
    <row r="37" spans="2:10">
      <c r="B37" s="30"/>
      <c r="H37" s="73"/>
      <c r="I37" s="74"/>
      <c r="J37" s="69"/>
    </row>
    <row r="38" spans="2:10">
      <c r="B38" s="30"/>
      <c r="H38" s="73"/>
      <c r="I38" s="74"/>
      <c r="J38" s="75"/>
    </row>
    <row r="39" spans="2:10">
      <c r="B39" s="30"/>
      <c r="H39" s="84"/>
      <c r="I39" s="61"/>
      <c r="J39" s="62"/>
    </row>
    <row r="40" spans="2:10">
      <c r="B40" s="30"/>
      <c r="H40" s="84"/>
      <c r="I40" s="61"/>
      <c r="J40" s="63"/>
    </row>
    <row r="41" spans="2:10">
      <c r="B41" s="30"/>
      <c r="H41" s="84"/>
      <c r="I41" s="61"/>
      <c r="J41" s="62"/>
    </row>
    <row r="42" spans="2:10">
      <c r="B42" s="30"/>
      <c r="H42" s="84"/>
      <c r="I42" s="61"/>
      <c r="J42" s="62"/>
    </row>
    <row r="43" spans="2:10">
      <c r="B43" s="30"/>
      <c r="H43" s="84"/>
      <c r="I43" s="61"/>
      <c r="J43" s="62"/>
    </row>
    <row r="44" spans="2:10">
      <c r="B44" s="30"/>
      <c r="H44" s="84"/>
      <c r="I44" s="61"/>
      <c r="J44" s="62"/>
    </row>
    <row r="45" spans="2:10">
      <c r="B45" s="30"/>
      <c r="H45" s="85"/>
      <c r="I45" s="61"/>
      <c r="J45" s="62"/>
    </row>
    <row r="46" spans="2:10">
      <c r="B46" s="30"/>
      <c r="H46" s="85"/>
      <c r="I46" s="61"/>
      <c r="J46" s="62"/>
    </row>
    <row r="47" spans="2:10">
      <c r="H47" s="85"/>
      <c r="I47" s="61"/>
      <c r="J47" s="62"/>
    </row>
    <row r="48" spans="2:10">
      <c r="H48" s="85"/>
      <c r="I48" s="61"/>
      <c r="J48" s="64"/>
    </row>
    <row r="49" spans="8:11">
      <c r="H49" s="85"/>
      <c r="I49" s="61"/>
      <c r="J49" s="62"/>
    </row>
    <row r="50" spans="8:11">
      <c r="H50" s="84"/>
      <c r="I50" s="61"/>
      <c r="J50" s="65"/>
    </row>
    <row r="51" spans="8:11">
      <c r="H51" s="84"/>
      <c r="I51" s="61"/>
      <c r="J51" s="65"/>
    </row>
    <row r="52" spans="8:11">
      <c r="H52" s="84"/>
      <c r="I52" s="61"/>
      <c r="J52" s="65"/>
    </row>
    <row r="53" spans="8:11">
      <c r="H53" s="84"/>
      <c r="I53" s="61"/>
      <c r="J53" s="65"/>
    </row>
    <row r="54" spans="8:11">
      <c r="H54" s="84"/>
      <c r="I54" s="61"/>
      <c r="J54" s="62"/>
    </row>
    <row r="55" spans="8:11">
      <c r="H55" s="84"/>
      <c r="I55" s="61"/>
      <c r="J55" s="62"/>
    </row>
    <row r="56" spans="8:11">
      <c r="H56" s="84"/>
      <c r="I56" s="61"/>
      <c r="J56" s="62"/>
    </row>
    <row r="57" spans="8:11">
      <c r="H57" s="84"/>
      <c r="I57" s="61"/>
      <c r="J57" s="62"/>
    </row>
    <row r="58" spans="8:11">
      <c r="H58" s="84"/>
      <c r="I58" s="61"/>
      <c r="J58" s="65"/>
    </row>
    <row r="59" spans="8:11">
      <c r="H59" s="84"/>
      <c r="I59" s="61"/>
      <c r="J59" s="65"/>
    </row>
    <row r="60" spans="8:11">
      <c r="H60" s="84"/>
      <c r="I60" s="61"/>
      <c r="J60" s="62"/>
    </row>
    <row r="61" spans="8:11" s="60" customFormat="1">
      <c r="H61" s="84"/>
      <c r="I61" s="61"/>
      <c r="J61" s="62"/>
      <c r="K61" s="57"/>
    </row>
    <row r="62" spans="8:11" s="60" customFormat="1">
      <c r="H62" s="84"/>
      <c r="I62" s="61"/>
      <c r="J62" s="62"/>
      <c r="K62" s="57"/>
    </row>
    <row r="63" spans="8:11">
      <c r="H63" s="84"/>
      <c r="I63" s="61"/>
      <c r="J63" s="62"/>
      <c r="K63" s="57" t="s">
        <v>69</v>
      </c>
    </row>
    <row r="64" spans="8:11">
      <c r="H64" s="84"/>
      <c r="I64" s="61"/>
      <c r="J64" s="62"/>
      <c r="K64" s="57" t="s">
        <v>70</v>
      </c>
    </row>
    <row r="65" spans="8:11">
      <c r="H65" s="84"/>
      <c r="I65" s="61"/>
      <c r="J65" s="62"/>
      <c r="K65" s="57" t="s">
        <v>71</v>
      </c>
    </row>
    <row r="66" spans="8:11">
      <c r="H66" s="84"/>
      <c r="I66" s="61"/>
      <c r="J66" s="62"/>
      <c r="K66" s="57" t="s">
        <v>72</v>
      </c>
    </row>
    <row r="67" spans="8:11">
      <c r="H67" s="84"/>
      <c r="I67" s="61"/>
      <c r="J67" s="62"/>
      <c r="K67" s="57" t="s">
        <v>73</v>
      </c>
    </row>
    <row r="68" spans="8:11">
      <c r="H68" s="84"/>
      <c r="I68" s="61"/>
      <c r="J68" s="62"/>
      <c r="K68" s="57" t="s">
        <v>74</v>
      </c>
    </row>
    <row r="69" spans="8:11">
      <c r="H69" s="84"/>
      <c r="I69" s="61"/>
      <c r="J69" s="62"/>
      <c r="K69" s="57" t="s">
        <v>75</v>
      </c>
    </row>
    <row r="70" spans="8:11">
      <c r="H70" s="84"/>
      <c r="I70" s="61"/>
      <c r="J70" s="62"/>
      <c r="K70" s="57" t="s">
        <v>76</v>
      </c>
    </row>
    <row r="71" spans="8:11">
      <c r="H71" s="84"/>
      <c r="I71" s="61"/>
      <c r="J71" s="63"/>
      <c r="K71" s="57" t="s">
        <v>77</v>
      </c>
    </row>
    <row r="72" spans="8:11">
      <c r="H72" s="84"/>
      <c r="I72" s="61"/>
      <c r="J72" s="62"/>
      <c r="K72" s="57" t="s">
        <v>78</v>
      </c>
    </row>
    <row r="73" spans="8:11">
      <c r="H73" s="84"/>
      <c r="I73" s="61"/>
      <c r="J73" s="62"/>
      <c r="K73" s="57" t="s">
        <v>79</v>
      </c>
    </row>
    <row r="74" spans="8:11">
      <c r="H74" s="84"/>
      <c r="I74" s="61"/>
      <c r="J74" s="62"/>
      <c r="K74" s="57" t="s">
        <v>80</v>
      </c>
    </row>
    <row r="75" spans="8:11">
      <c r="H75" s="84"/>
      <c r="I75" s="61"/>
      <c r="J75" s="62"/>
      <c r="K75" s="57" t="s">
        <v>81</v>
      </c>
    </row>
    <row r="76" spans="8:11">
      <c r="H76" s="84"/>
      <c r="I76" s="61"/>
      <c r="J76" s="62"/>
      <c r="K76" s="57" t="s">
        <v>82</v>
      </c>
    </row>
    <row r="77" spans="8:11">
      <c r="H77" s="84"/>
      <c r="I77" s="61"/>
      <c r="J77" s="62"/>
      <c r="K77" s="57" t="s">
        <v>83</v>
      </c>
    </row>
    <row r="78" spans="8:11">
      <c r="H78" s="84"/>
      <c r="I78" s="61"/>
      <c r="J78" s="62"/>
      <c r="K78" s="57" t="s">
        <v>84</v>
      </c>
    </row>
    <row r="79" spans="8:11">
      <c r="H79" s="84"/>
      <c r="I79" s="61"/>
      <c r="J79" s="62"/>
      <c r="K79" s="57" t="s">
        <v>85</v>
      </c>
    </row>
    <row r="80" spans="8:11">
      <c r="H80" s="84"/>
      <c r="I80" s="61"/>
      <c r="J80" s="62"/>
      <c r="K80" s="57" t="s">
        <v>86</v>
      </c>
    </row>
    <row r="81" spans="8:11">
      <c r="H81" s="84"/>
      <c r="I81" s="61"/>
      <c r="J81" s="62"/>
      <c r="K81" s="57" t="s">
        <v>87</v>
      </c>
    </row>
    <row r="82" spans="8:11">
      <c r="H82" s="84"/>
      <c r="I82" s="61"/>
      <c r="J82" s="62"/>
      <c r="K82" s="57" t="s">
        <v>88</v>
      </c>
    </row>
    <row r="83" spans="8:11">
      <c r="H83" s="84"/>
      <c r="I83" s="61"/>
      <c r="J83" s="62"/>
      <c r="K83" s="57" t="s">
        <v>89</v>
      </c>
    </row>
    <row r="84" spans="8:11">
      <c r="H84" s="84"/>
      <c r="I84" s="61"/>
      <c r="J84" s="62"/>
      <c r="K84" s="57" t="s">
        <v>90</v>
      </c>
    </row>
    <row r="85" spans="8:11">
      <c r="H85" s="84"/>
      <c r="I85" s="61"/>
      <c r="J85" s="62"/>
      <c r="K85" s="57" t="s">
        <v>91</v>
      </c>
    </row>
    <row r="86" spans="8:11">
      <c r="H86" s="84"/>
      <c r="I86" s="61"/>
      <c r="J86" s="62"/>
      <c r="K86" s="57" t="s">
        <v>92</v>
      </c>
    </row>
    <row r="87" spans="8:11">
      <c r="H87" s="84"/>
      <c r="I87" s="61"/>
      <c r="J87" s="63"/>
      <c r="K87" s="57" t="s">
        <v>93</v>
      </c>
    </row>
    <row r="88" spans="8:11">
      <c r="H88" s="84"/>
      <c r="I88" s="61"/>
      <c r="J88" s="62"/>
      <c r="K88" s="57" t="s">
        <v>94</v>
      </c>
    </row>
    <row r="89" spans="8:11">
      <c r="H89" s="84"/>
      <c r="I89" s="61"/>
      <c r="J89" s="63"/>
      <c r="K89" s="57" t="s">
        <v>95</v>
      </c>
    </row>
    <row r="90" spans="8:11">
      <c r="H90" s="84"/>
      <c r="I90" s="61"/>
      <c r="J90" s="63"/>
      <c r="K90" s="57" t="s">
        <v>96</v>
      </c>
    </row>
    <row r="91" spans="8:11">
      <c r="H91" s="84"/>
      <c r="I91" s="61"/>
      <c r="J91" s="63"/>
      <c r="K91" s="57" t="s">
        <v>97</v>
      </c>
    </row>
    <row r="92" spans="8:11">
      <c r="H92" s="84"/>
      <c r="I92" s="61"/>
      <c r="J92" s="63"/>
      <c r="K92" s="57" t="s">
        <v>98</v>
      </c>
    </row>
    <row r="93" spans="8:11">
      <c r="H93" s="84"/>
      <c r="I93" s="61"/>
      <c r="J93" s="63"/>
      <c r="K93" s="57" t="s">
        <v>99</v>
      </c>
    </row>
    <row r="94" spans="8:11">
      <c r="H94" s="84"/>
      <c r="I94" s="61"/>
      <c r="J94" s="63"/>
      <c r="K94" s="57" t="s">
        <v>100</v>
      </c>
    </row>
    <row r="95" spans="8:11">
      <c r="H95" s="84"/>
      <c r="I95" s="61"/>
      <c r="J95" s="63"/>
      <c r="K95" s="57" t="s">
        <v>101</v>
      </c>
    </row>
    <row r="96" spans="8:11">
      <c r="H96" s="84"/>
      <c r="I96" s="61"/>
      <c r="J96" s="63"/>
      <c r="K96" s="57" t="s">
        <v>102</v>
      </c>
    </row>
    <row r="97" spans="8:11">
      <c r="H97" s="84"/>
      <c r="I97" s="61"/>
      <c r="J97" s="63"/>
      <c r="K97" s="57" t="s">
        <v>103</v>
      </c>
    </row>
    <row r="98" spans="8:11">
      <c r="H98" s="84"/>
      <c r="I98" s="61"/>
      <c r="J98" s="63"/>
      <c r="K98" s="57" t="s">
        <v>104</v>
      </c>
    </row>
    <row r="99" spans="8:11">
      <c r="H99" s="84"/>
      <c r="I99" s="61"/>
      <c r="J99" s="63"/>
      <c r="K99" s="57" t="s">
        <v>105</v>
      </c>
    </row>
    <row r="100" spans="8:11">
      <c r="H100" s="84"/>
      <c r="I100" s="61"/>
      <c r="J100" s="63"/>
      <c r="K100" s="57" t="s">
        <v>106</v>
      </c>
    </row>
    <row r="101" spans="8:11">
      <c r="H101" s="84"/>
      <c r="I101" s="61"/>
      <c r="J101" s="63"/>
      <c r="K101" s="57" t="s">
        <v>107</v>
      </c>
    </row>
    <row r="102" spans="8:11">
      <c r="H102" s="84"/>
      <c r="I102" s="61"/>
      <c r="J102" s="63"/>
      <c r="K102" s="57" t="s">
        <v>108</v>
      </c>
    </row>
    <row r="103" spans="8:11">
      <c r="H103" s="84"/>
      <c r="I103" s="61"/>
      <c r="J103" s="62"/>
      <c r="K103" s="57" t="s">
        <v>109</v>
      </c>
    </row>
    <row r="104" spans="8:11">
      <c r="H104" s="84"/>
      <c r="I104" s="61"/>
      <c r="J104" s="62"/>
      <c r="K104" s="57" t="s">
        <v>110</v>
      </c>
    </row>
    <row r="105" spans="8:11">
      <c r="H105" s="84"/>
      <c r="I105" s="61"/>
      <c r="J105" s="62"/>
      <c r="K105" s="57" t="s">
        <v>111</v>
      </c>
    </row>
    <row r="106" spans="8:11">
      <c r="H106" s="84"/>
      <c r="I106" s="61"/>
      <c r="J106" s="62"/>
      <c r="K106" s="57" t="s">
        <v>112</v>
      </c>
    </row>
    <row r="107" spans="8:11">
      <c r="H107" s="84"/>
      <c r="I107" s="61"/>
      <c r="J107" s="62"/>
      <c r="K107" s="57" t="s">
        <v>113</v>
      </c>
    </row>
    <row r="108" spans="8:11">
      <c r="H108" s="84"/>
      <c r="I108" s="61"/>
      <c r="J108" s="62"/>
      <c r="K108" s="57" t="s">
        <v>114</v>
      </c>
    </row>
    <row r="109" spans="8:11">
      <c r="H109" s="84"/>
      <c r="I109" s="61"/>
      <c r="J109" s="62"/>
      <c r="K109" s="57" t="s">
        <v>115</v>
      </c>
    </row>
    <row r="110" spans="8:11">
      <c r="H110" s="66"/>
      <c r="I110" s="66"/>
      <c r="J110" s="66"/>
    </row>
    <row r="111" spans="8:11">
      <c r="H111" s="85"/>
      <c r="I111" s="67"/>
      <c r="J111" s="68"/>
      <c r="K111" s="58" t="str">
        <f>CONCATENATE(I111," ",J111)</f>
        <v xml:space="preserve"> </v>
      </c>
    </row>
    <row r="112" spans="8:11">
      <c r="H112" s="85"/>
      <c r="I112" s="67"/>
      <c r="J112" s="65"/>
      <c r="K112" s="58" t="str">
        <f t="shared" ref="K112:K172" si="0">CONCATENATE(I112," ",J112)</f>
        <v xml:space="preserve"> </v>
      </c>
    </row>
    <row r="113" spans="8:11">
      <c r="H113" s="85"/>
      <c r="I113" s="67"/>
      <c r="J113" s="65"/>
      <c r="K113" s="58" t="str">
        <f t="shared" si="0"/>
        <v xml:space="preserve"> </v>
      </c>
    </row>
    <row r="114" spans="8:11">
      <c r="H114" s="85"/>
      <c r="I114" s="67"/>
      <c r="J114" s="65"/>
      <c r="K114" s="58" t="str">
        <f t="shared" si="0"/>
        <v xml:space="preserve"> </v>
      </c>
    </row>
    <row r="115" spans="8:11">
      <c r="H115" s="85"/>
      <c r="I115" s="67"/>
      <c r="J115" s="65"/>
      <c r="K115" s="58" t="str">
        <f t="shared" si="0"/>
        <v xml:space="preserve"> </v>
      </c>
    </row>
    <row r="116" spans="8:11">
      <c r="H116" s="85"/>
      <c r="I116" s="67"/>
      <c r="J116" s="65"/>
      <c r="K116" s="58" t="str">
        <f t="shared" si="0"/>
        <v xml:space="preserve"> </v>
      </c>
    </row>
    <row r="117" spans="8:11">
      <c r="H117" s="85"/>
      <c r="I117" s="67"/>
      <c r="J117" s="65"/>
      <c r="K117" s="58" t="str">
        <f t="shared" si="0"/>
        <v xml:space="preserve"> </v>
      </c>
    </row>
    <row r="118" spans="8:11">
      <c r="H118" s="85"/>
      <c r="I118" s="67"/>
      <c r="J118" s="65"/>
      <c r="K118" s="58" t="str">
        <f t="shared" si="0"/>
        <v xml:space="preserve"> </v>
      </c>
    </row>
    <row r="119" spans="8:11">
      <c r="H119" s="85"/>
      <c r="I119" s="67"/>
      <c r="J119" s="65"/>
      <c r="K119" s="58" t="str">
        <f t="shared" si="0"/>
        <v xml:space="preserve"> </v>
      </c>
    </row>
    <row r="120" spans="8:11">
      <c r="H120" s="85"/>
      <c r="I120" s="67"/>
      <c r="J120" s="65"/>
      <c r="K120" s="58" t="str">
        <f t="shared" si="0"/>
        <v xml:space="preserve"> </v>
      </c>
    </row>
    <row r="121" spans="8:11">
      <c r="H121" s="85"/>
      <c r="I121" s="67"/>
      <c r="J121" s="65"/>
      <c r="K121" s="58" t="str">
        <f t="shared" si="0"/>
        <v xml:space="preserve"> </v>
      </c>
    </row>
    <row r="122" spans="8:11">
      <c r="H122" s="85"/>
      <c r="I122" s="67"/>
      <c r="J122" s="69"/>
      <c r="K122" s="58" t="str">
        <f t="shared" si="0"/>
        <v xml:space="preserve"> </v>
      </c>
    </row>
    <row r="123" spans="8:11">
      <c r="H123" s="85"/>
      <c r="I123" s="67"/>
      <c r="J123" s="65"/>
      <c r="K123" s="58" t="str">
        <f t="shared" si="0"/>
        <v xml:space="preserve"> </v>
      </c>
    </row>
    <row r="124" spans="8:11">
      <c r="H124" s="85"/>
      <c r="I124" s="67"/>
      <c r="J124" s="65"/>
      <c r="K124" s="58" t="str">
        <f t="shared" si="0"/>
        <v xml:space="preserve"> </v>
      </c>
    </row>
    <row r="125" spans="8:11">
      <c r="H125" s="85"/>
      <c r="I125" s="67"/>
      <c r="J125" s="65"/>
      <c r="K125" s="58" t="str">
        <f t="shared" si="0"/>
        <v xml:space="preserve"> </v>
      </c>
    </row>
    <row r="126" spans="8:11">
      <c r="H126" s="85"/>
      <c r="I126" s="67"/>
      <c r="J126" s="65"/>
      <c r="K126" s="58" t="str">
        <f t="shared" si="0"/>
        <v xml:space="preserve"> </v>
      </c>
    </row>
    <row r="127" spans="8:11">
      <c r="H127" s="85"/>
      <c r="I127" s="67"/>
      <c r="J127" s="65"/>
      <c r="K127" s="58" t="str">
        <f t="shared" si="0"/>
        <v xml:space="preserve"> </v>
      </c>
    </row>
    <row r="128" spans="8:11">
      <c r="H128" s="85"/>
      <c r="I128" s="67"/>
      <c r="J128" s="65"/>
      <c r="K128" s="58" t="str">
        <f t="shared" si="0"/>
        <v xml:space="preserve"> </v>
      </c>
    </row>
    <row r="129" spans="8:11">
      <c r="H129" s="85"/>
      <c r="I129" s="67"/>
      <c r="J129" s="65"/>
      <c r="K129" s="58" t="str">
        <f t="shared" si="0"/>
        <v xml:space="preserve"> </v>
      </c>
    </row>
    <row r="130" spans="8:11">
      <c r="H130" s="85"/>
      <c r="I130" s="70"/>
      <c r="J130" s="65"/>
      <c r="K130" s="58" t="str">
        <f t="shared" si="0"/>
        <v xml:space="preserve"> </v>
      </c>
    </row>
    <row r="131" spans="8:11">
      <c r="H131" s="85"/>
      <c r="I131" s="70"/>
      <c r="J131" s="69"/>
      <c r="K131" s="58" t="str">
        <f t="shared" si="0"/>
        <v xml:space="preserve"> </v>
      </c>
    </row>
    <row r="132" spans="8:11">
      <c r="H132" s="85"/>
      <c r="I132" s="70"/>
      <c r="J132" s="69"/>
      <c r="K132" s="58" t="str">
        <f t="shared" si="0"/>
        <v xml:space="preserve"> </v>
      </c>
    </row>
    <row r="133" spans="8:11">
      <c r="H133" s="85"/>
      <c r="I133" s="70"/>
      <c r="J133" s="69"/>
      <c r="K133" s="58" t="str">
        <f t="shared" si="0"/>
        <v xml:space="preserve"> </v>
      </c>
    </row>
    <row r="134" spans="8:11">
      <c r="H134" s="85"/>
      <c r="I134" s="70"/>
      <c r="J134" s="69"/>
      <c r="K134" s="58" t="str">
        <f t="shared" si="0"/>
        <v xml:space="preserve"> </v>
      </c>
    </row>
    <row r="135" spans="8:11">
      <c r="H135" s="85"/>
      <c r="I135" s="70"/>
      <c r="J135" s="69"/>
      <c r="K135" s="58" t="str">
        <f t="shared" si="0"/>
        <v xml:space="preserve"> </v>
      </c>
    </row>
    <row r="136" spans="8:11">
      <c r="H136" s="85"/>
      <c r="I136" s="70"/>
      <c r="J136" s="63"/>
      <c r="K136" s="58" t="str">
        <f t="shared" si="0"/>
        <v xml:space="preserve"> </v>
      </c>
    </row>
    <row r="137" spans="8:11">
      <c r="H137" s="85"/>
      <c r="I137" s="70"/>
      <c r="J137" s="62"/>
      <c r="K137" s="58" t="str">
        <f t="shared" si="0"/>
        <v xml:space="preserve"> </v>
      </c>
    </row>
    <row r="138" spans="8:11">
      <c r="H138" s="85"/>
      <c r="I138" s="70"/>
      <c r="J138" s="63"/>
      <c r="K138" s="58" t="str">
        <f t="shared" si="0"/>
        <v xml:space="preserve"> </v>
      </c>
    </row>
    <row r="139" spans="8:11">
      <c r="H139" s="85"/>
      <c r="I139" s="70"/>
      <c r="J139" s="62"/>
      <c r="K139" s="58" t="str">
        <f t="shared" si="0"/>
        <v xml:space="preserve"> </v>
      </c>
    </row>
    <row r="140" spans="8:11">
      <c r="H140" s="85"/>
      <c r="I140" s="70"/>
      <c r="J140" s="62"/>
      <c r="K140" s="58" t="str">
        <f t="shared" si="0"/>
        <v xml:space="preserve"> </v>
      </c>
    </row>
    <row r="141" spans="8:11">
      <c r="H141" s="85"/>
      <c r="I141" s="70"/>
      <c r="J141" s="62"/>
      <c r="K141" s="58" t="str">
        <f t="shared" si="0"/>
        <v xml:space="preserve"> </v>
      </c>
    </row>
    <row r="142" spans="8:11">
      <c r="H142" s="85"/>
      <c r="I142" s="70"/>
      <c r="J142" s="62"/>
      <c r="K142" s="58" t="str">
        <f t="shared" si="0"/>
        <v xml:space="preserve"> </v>
      </c>
    </row>
    <row r="143" spans="8:11">
      <c r="H143" s="85"/>
      <c r="I143" s="70"/>
      <c r="J143" s="62"/>
      <c r="K143" s="58" t="str">
        <f t="shared" si="0"/>
        <v xml:space="preserve"> </v>
      </c>
    </row>
    <row r="144" spans="8:11">
      <c r="H144" s="85"/>
      <c r="I144" s="70"/>
      <c r="J144" s="62"/>
      <c r="K144" s="58" t="str">
        <f t="shared" si="0"/>
        <v xml:space="preserve"> </v>
      </c>
    </row>
    <row r="145" spans="8:11">
      <c r="H145" s="85"/>
      <c r="I145" s="70"/>
      <c r="J145" s="62"/>
      <c r="K145" s="58" t="str">
        <f t="shared" si="0"/>
        <v xml:space="preserve"> </v>
      </c>
    </row>
    <row r="146" spans="8:11">
      <c r="H146" s="85"/>
      <c r="I146" s="70"/>
      <c r="J146" s="62"/>
      <c r="K146" s="58" t="str">
        <f t="shared" si="0"/>
        <v xml:space="preserve"> </v>
      </c>
    </row>
    <row r="147" spans="8:11">
      <c r="H147" s="85"/>
      <c r="I147" s="70"/>
      <c r="J147" s="62"/>
      <c r="K147" s="58" t="str">
        <f t="shared" si="0"/>
        <v xml:space="preserve"> </v>
      </c>
    </row>
    <row r="148" spans="8:11">
      <c r="H148" s="85"/>
      <c r="I148" s="70"/>
      <c r="J148" s="62"/>
      <c r="K148" s="58" t="str">
        <f t="shared" si="0"/>
        <v xml:space="preserve"> </v>
      </c>
    </row>
    <row r="149" spans="8:11">
      <c r="H149" s="85"/>
      <c r="I149" s="70"/>
      <c r="J149" s="62"/>
      <c r="K149" s="58" t="str">
        <f t="shared" si="0"/>
        <v xml:space="preserve"> </v>
      </c>
    </row>
    <row r="150" spans="8:11">
      <c r="H150" s="85"/>
      <c r="I150" s="70"/>
      <c r="J150" s="63"/>
      <c r="K150" s="58" t="str">
        <f t="shared" si="0"/>
        <v xml:space="preserve"> </v>
      </c>
    </row>
    <row r="151" spans="8:11">
      <c r="H151" s="85"/>
      <c r="I151" s="70"/>
      <c r="J151" s="62"/>
      <c r="K151" s="58" t="str">
        <f t="shared" si="0"/>
        <v xml:space="preserve"> </v>
      </c>
    </row>
    <row r="152" spans="8:11">
      <c r="H152" s="85"/>
      <c r="I152" s="70"/>
      <c r="J152" s="63"/>
      <c r="K152" s="58" t="str">
        <f t="shared" si="0"/>
        <v xml:space="preserve"> </v>
      </c>
    </row>
    <row r="153" spans="8:11">
      <c r="H153" s="85"/>
      <c r="I153" s="70"/>
      <c r="J153" s="62"/>
      <c r="K153" s="58" t="str">
        <f t="shared" si="0"/>
        <v xml:space="preserve"> </v>
      </c>
    </row>
    <row r="154" spans="8:11">
      <c r="H154" s="85"/>
      <c r="I154" s="70"/>
      <c r="J154" s="62"/>
      <c r="K154" s="58" t="str">
        <f t="shared" si="0"/>
        <v xml:space="preserve"> </v>
      </c>
    </row>
    <row r="155" spans="8:11">
      <c r="H155" s="85"/>
      <c r="I155" s="70"/>
      <c r="J155" s="62"/>
      <c r="K155" s="58" t="str">
        <f t="shared" si="0"/>
        <v xml:space="preserve"> </v>
      </c>
    </row>
    <row r="156" spans="8:11">
      <c r="H156" s="85"/>
      <c r="I156" s="70"/>
      <c r="J156" s="62"/>
      <c r="K156" s="58" t="str">
        <f t="shared" si="0"/>
        <v xml:space="preserve"> </v>
      </c>
    </row>
    <row r="157" spans="8:11">
      <c r="H157" s="84"/>
      <c r="I157" s="70"/>
      <c r="J157" s="62"/>
      <c r="K157" s="58" t="str">
        <f t="shared" si="0"/>
        <v xml:space="preserve"> </v>
      </c>
    </row>
    <row r="158" spans="8:11">
      <c r="H158" s="84"/>
      <c r="I158" s="70"/>
      <c r="J158" s="62"/>
      <c r="K158" s="58" t="str">
        <f t="shared" si="0"/>
        <v xml:space="preserve"> </v>
      </c>
    </row>
    <row r="159" spans="8:11">
      <c r="H159" s="84"/>
      <c r="I159" s="70"/>
      <c r="J159" s="62"/>
      <c r="K159" s="58" t="str">
        <f t="shared" si="0"/>
        <v xml:space="preserve"> </v>
      </c>
    </row>
    <row r="160" spans="8:11">
      <c r="H160" s="84"/>
      <c r="I160" s="70"/>
      <c r="J160" s="62"/>
      <c r="K160" s="58" t="str">
        <f t="shared" si="0"/>
        <v xml:space="preserve"> </v>
      </c>
    </row>
    <row r="161" spans="8:11">
      <c r="H161" s="84"/>
      <c r="I161" s="70"/>
      <c r="J161" s="62"/>
      <c r="K161" s="58" t="str">
        <f t="shared" si="0"/>
        <v xml:space="preserve"> </v>
      </c>
    </row>
    <row r="162" spans="8:11">
      <c r="H162" s="84"/>
      <c r="I162" s="70"/>
      <c r="J162" s="62"/>
      <c r="K162" s="58" t="str">
        <f t="shared" si="0"/>
        <v xml:space="preserve"> </v>
      </c>
    </row>
    <row r="163" spans="8:11">
      <c r="H163" s="84"/>
      <c r="I163" s="70"/>
      <c r="J163" s="62"/>
      <c r="K163" s="58" t="str">
        <f t="shared" si="0"/>
        <v xml:space="preserve"> </v>
      </c>
    </row>
    <row r="164" spans="8:11">
      <c r="H164" s="84"/>
      <c r="I164" s="70"/>
      <c r="J164" s="62"/>
      <c r="K164" s="58" t="str">
        <f t="shared" si="0"/>
        <v xml:space="preserve"> </v>
      </c>
    </row>
    <row r="165" spans="8:11">
      <c r="H165" s="84"/>
      <c r="I165" s="70"/>
      <c r="J165" s="62"/>
      <c r="K165" s="58" t="str">
        <f t="shared" si="0"/>
        <v xml:space="preserve"> </v>
      </c>
    </row>
    <row r="166" spans="8:11">
      <c r="H166" s="84"/>
      <c r="I166" s="70"/>
      <c r="J166" s="65"/>
      <c r="K166" s="58" t="str">
        <f t="shared" si="0"/>
        <v xml:space="preserve"> </v>
      </c>
    </row>
    <row r="167" spans="8:11">
      <c r="H167" s="84"/>
      <c r="I167" s="70"/>
      <c r="J167" s="65"/>
      <c r="K167" s="58" t="str">
        <f t="shared" si="0"/>
        <v xml:space="preserve"> </v>
      </c>
    </row>
    <row r="168" spans="8:11">
      <c r="H168" s="84"/>
      <c r="I168" s="70"/>
      <c r="J168" s="65"/>
      <c r="K168" s="58" t="str">
        <f t="shared" si="0"/>
        <v xml:space="preserve"> </v>
      </c>
    </row>
    <row r="169" spans="8:11">
      <c r="H169" s="84"/>
      <c r="I169" s="70"/>
      <c r="J169" s="62"/>
      <c r="K169" s="58" t="str">
        <f t="shared" si="0"/>
        <v xml:space="preserve"> </v>
      </c>
    </row>
    <row r="170" spans="8:11">
      <c r="H170" s="84"/>
      <c r="I170" s="70"/>
      <c r="J170" s="62"/>
      <c r="K170" s="58" t="str">
        <f t="shared" si="0"/>
        <v xml:space="preserve"> </v>
      </c>
    </row>
    <row r="171" spans="8:11">
      <c r="H171" s="84"/>
      <c r="I171" s="70"/>
      <c r="J171" s="62"/>
      <c r="K171" s="58" t="str">
        <f t="shared" si="0"/>
        <v xml:space="preserve"> </v>
      </c>
    </row>
    <row r="172" spans="8:11">
      <c r="H172" s="84"/>
      <c r="I172" s="70"/>
      <c r="J172" s="62"/>
      <c r="K172" s="58" t="str">
        <f t="shared" si="0"/>
        <v xml:space="preserve"> </v>
      </c>
    </row>
  </sheetData>
  <mergeCells count="12">
    <mergeCell ref="H39:H44"/>
    <mergeCell ref="H45:H49"/>
    <mergeCell ref="H50:H64"/>
    <mergeCell ref="H4:H23"/>
    <mergeCell ref="H65:H73"/>
    <mergeCell ref="H74:H109"/>
    <mergeCell ref="H157:H172"/>
    <mergeCell ref="H111:H120"/>
    <mergeCell ref="H121:H129"/>
    <mergeCell ref="H130:H137"/>
    <mergeCell ref="H138:H152"/>
    <mergeCell ref="H153:H156"/>
  </mergeCells>
  <pageMargins left="0.7" right="0.7" top="0.75" bottom="0.75" header="0.3" footer="0.3"/>
  <pageSetup paperSize="9" scale="41" fitToHeight="0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S167"/>
  <sheetViews>
    <sheetView tabSelected="1" topLeftCell="G1" zoomScale="80" zoomScaleNormal="80" workbookViewId="0">
      <pane ySplit="5" topLeftCell="A6" activePane="bottomLeft" state="frozen"/>
      <selection activeCell="B95" sqref="B95"/>
      <selection pane="bottomLeft" activeCell="M6" sqref="M6"/>
    </sheetView>
  </sheetViews>
  <sheetFormatPr baseColWidth="10" defaultRowHeight="15"/>
  <cols>
    <col min="1" max="1" width="24.140625" style="12" customWidth="1"/>
    <col min="2" max="2" width="11.140625" bestFit="1" customWidth="1"/>
    <col min="3" max="3" width="40.140625" customWidth="1"/>
    <col min="4" max="4" width="22.140625" customWidth="1"/>
    <col min="5" max="5" width="22.42578125" customWidth="1"/>
    <col min="6" max="6" width="20.28515625" customWidth="1"/>
    <col min="7" max="7" width="16.85546875" customWidth="1"/>
    <col min="8" max="8" width="8" customWidth="1"/>
    <col min="9" max="9" width="16.42578125" customWidth="1"/>
    <col min="10" max="10" width="14.5703125" customWidth="1"/>
    <col min="11" max="11" width="16.42578125" customWidth="1"/>
    <col min="12" max="12" width="17.42578125" customWidth="1"/>
    <col min="13" max="13" width="13.85546875" bestFit="1" customWidth="1"/>
    <col min="14" max="14" width="10.7109375" customWidth="1"/>
    <col min="15" max="15" width="10.42578125" customWidth="1"/>
    <col min="16" max="16" width="16" customWidth="1"/>
    <col min="17" max="17" width="17" customWidth="1"/>
    <col min="18" max="18" width="18.140625" customWidth="1"/>
    <col min="19" max="19" width="19.42578125" customWidth="1"/>
    <col min="20" max="22" width="8.140625" style="32" customWidth="1"/>
    <col min="23" max="28" width="11.5703125" style="32" customWidth="1"/>
    <col min="29" max="16384" width="11.42578125" style="32"/>
  </cols>
  <sheetData>
    <row r="1" spans="1:19" ht="18" customHeight="1">
      <c r="A1" s="89"/>
      <c r="B1" s="89"/>
      <c r="C1" s="81" t="s">
        <v>53</v>
      </c>
      <c r="D1" s="81"/>
      <c r="E1" s="81"/>
      <c r="F1" s="81"/>
      <c r="G1" s="82" t="s">
        <v>152</v>
      </c>
      <c r="H1" s="82"/>
      <c r="I1" s="82"/>
      <c r="J1" s="82"/>
      <c r="K1" s="82"/>
    </row>
    <row r="2" spans="1:19">
      <c r="A2" s="89"/>
      <c r="B2" s="89"/>
      <c r="C2" s="81" t="s">
        <v>54</v>
      </c>
      <c r="D2" s="81"/>
      <c r="E2" s="81"/>
      <c r="F2" s="81"/>
      <c r="G2" s="83" t="s">
        <v>153</v>
      </c>
      <c r="H2" s="83"/>
      <c r="I2" s="83"/>
      <c r="J2" s="83"/>
      <c r="K2" s="83"/>
    </row>
    <row r="3" spans="1:19">
      <c r="A3" s="89"/>
      <c r="B3" s="89"/>
      <c r="C3" s="81" t="s">
        <v>55</v>
      </c>
      <c r="D3" s="81"/>
      <c r="E3" s="81"/>
      <c r="F3" s="81"/>
      <c r="G3" s="83" t="s">
        <v>154</v>
      </c>
      <c r="H3" s="83"/>
      <c r="I3" s="83"/>
      <c r="J3" s="83"/>
      <c r="K3" s="83"/>
    </row>
    <row r="4" spans="1:19" ht="27" customHeight="1">
      <c r="A4" s="89"/>
      <c r="B4" s="89"/>
      <c r="C4" s="81" t="s">
        <v>156</v>
      </c>
      <c r="D4" s="81"/>
      <c r="E4" s="81"/>
      <c r="F4" s="81"/>
      <c r="G4" s="83" t="s">
        <v>155</v>
      </c>
      <c r="H4" s="83"/>
      <c r="I4" s="83"/>
      <c r="J4" s="83"/>
      <c r="K4" s="83"/>
    </row>
    <row r="5" spans="1:19" s="44" customFormat="1" ht="43.5" customHeight="1">
      <c r="A5" s="21" t="s">
        <v>1</v>
      </c>
      <c r="B5" s="21" t="s">
        <v>15</v>
      </c>
      <c r="C5" s="21" t="s">
        <v>0</v>
      </c>
      <c r="D5" s="21" t="s">
        <v>50</v>
      </c>
      <c r="E5" s="21" t="s">
        <v>2</v>
      </c>
      <c r="F5" s="21" t="s">
        <v>56</v>
      </c>
      <c r="G5" s="21" t="s">
        <v>57</v>
      </c>
      <c r="H5" s="21" t="s">
        <v>58</v>
      </c>
      <c r="I5" s="21" t="s">
        <v>12</v>
      </c>
      <c r="J5" s="21" t="s">
        <v>11</v>
      </c>
      <c r="K5" s="21" t="s">
        <v>9</v>
      </c>
      <c r="L5" s="19" t="s">
        <v>10</v>
      </c>
      <c r="M5" s="19" t="s">
        <v>3</v>
      </c>
      <c r="N5" s="14" t="s">
        <v>6</v>
      </c>
      <c r="O5" s="14" t="s">
        <v>7</v>
      </c>
      <c r="P5" s="14" t="s">
        <v>8</v>
      </c>
      <c r="Q5" s="14" t="s">
        <v>5</v>
      </c>
      <c r="R5" s="20" t="s">
        <v>4</v>
      </c>
      <c r="S5" s="14" t="s">
        <v>51</v>
      </c>
    </row>
    <row r="6" spans="1:19" s="44" customFormat="1">
      <c r="A6" s="15" t="s">
        <v>158</v>
      </c>
      <c r="B6" s="95" t="s">
        <v>25</v>
      </c>
      <c r="C6" s="18" t="str">
        <f>IF(B6="","",VLOOKUP(B6,'Tabla de proceso'!$B$6:$G$25,2,))</f>
        <v xml:space="preserve">BC1 CONSULTAS CUSTODIA - (IMAGEN) SUPERIORES 5 UNIDADES </v>
      </c>
      <c r="D6" s="17">
        <f>IF(B6="","",VLOOKUP(B6,'Tabla de proceso'!$B$5:$G$25,3,0))</f>
        <v>700</v>
      </c>
      <c r="E6" s="13">
        <f t="shared" ref="E6" si="0">D6</f>
        <v>700</v>
      </c>
      <c r="F6" s="13">
        <f t="shared" ref="F6" si="1">IF(E6="","",+$E6/9)</f>
        <v>77.777777777777771</v>
      </c>
      <c r="G6" s="13">
        <f t="shared" ref="G6" si="2">IF(E6="","",($E6/60)/9)</f>
        <v>1.2962962962962963</v>
      </c>
      <c r="H6" s="13">
        <f t="shared" ref="H6:H167" si="3">+$E6*5</f>
        <v>3500</v>
      </c>
      <c r="I6" s="47">
        <v>44876</v>
      </c>
      <c r="J6" s="16">
        <f t="shared" ref="J6" si="4">+WEEKNUM(I6)</f>
        <v>46</v>
      </c>
      <c r="K6" s="45" t="str">
        <f t="shared" ref="K6:K167" si="5">+TEXT($I6,"dddd")</f>
        <v>viernes</v>
      </c>
      <c r="L6" s="49">
        <v>700</v>
      </c>
      <c r="M6" s="50">
        <v>0.375</v>
      </c>
      <c r="N6" s="52">
        <f t="shared" ref="N6:N167" si="6">+HOUR($M6)</f>
        <v>9</v>
      </c>
      <c r="O6" s="52">
        <f t="shared" ref="O6:O167" si="7">+MINUTE($M6)</f>
        <v>0</v>
      </c>
      <c r="P6" s="53">
        <f t="shared" ref="P6:P167" si="8">+($N6*60)+$O6</f>
        <v>540</v>
      </c>
      <c r="Q6" s="54">
        <f t="shared" ref="Q6" si="9">IF(G6="","",+$G6*$P6)</f>
        <v>700</v>
      </c>
      <c r="R6" s="59">
        <f t="shared" ref="R6:R167" si="10">IF($Q6="","",$L6/$Q6)</f>
        <v>1</v>
      </c>
      <c r="S6" s="96" t="s">
        <v>159</v>
      </c>
    </row>
    <row r="7" spans="1:19" s="44" customFormat="1">
      <c r="A7" s="15"/>
      <c r="B7" s="56"/>
      <c r="C7" s="18" t="str">
        <f>IF(B7="","",VLOOKUP(B7,'Tabla de proceso'!$B$6:$G$25,2,))</f>
        <v/>
      </c>
      <c r="D7" s="17" t="str">
        <f>IF(B7="","",VLOOKUP(B7,'Tabla de proceso'!$B$5:$G$25,3,0))</f>
        <v/>
      </c>
      <c r="E7" s="13" t="str">
        <f t="shared" ref="E7" si="11">D7</f>
        <v/>
      </c>
      <c r="F7" s="13" t="str">
        <f t="shared" ref="F7" si="12">IF(E7="","",+$E7/9)</f>
        <v/>
      </c>
      <c r="G7" s="13" t="str">
        <f t="shared" ref="G7" si="13">IF(E7="","",($E7/60)/9)</f>
        <v/>
      </c>
      <c r="H7" s="13" t="e">
        <f t="shared" si="3"/>
        <v>#VALUE!</v>
      </c>
      <c r="I7" s="47"/>
      <c r="J7" s="16">
        <f t="shared" ref="J7" si="14">+WEEKNUM(I7)</f>
        <v>0</v>
      </c>
      <c r="K7" s="45" t="str">
        <f t="shared" si="5"/>
        <v>sábado</v>
      </c>
      <c r="L7" s="49"/>
      <c r="M7" s="50"/>
      <c r="N7" s="52">
        <f t="shared" si="6"/>
        <v>0</v>
      </c>
      <c r="O7" s="52">
        <f t="shared" si="7"/>
        <v>0</v>
      </c>
      <c r="P7" s="53">
        <f t="shared" si="8"/>
        <v>0</v>
      </c>
      <c r="Q7" s="54" t="str">
        <f t="shared" ref="Q7" si="15">IF(G7="","",+$G7*$P7)</f>
        <v/>
      </c>
      <c r="R7" s="59" t="str">
        <f t="shared" si="10"/>
        <v/>
      </c>
      <c r="S7" s="51"/>
    </row>
    <row r="8" spans="1:19" s="44" customFormat="1">
      <c r="A8" s="15"/>
      <c r="B8" s="56"/>
      <c r="C8" s="18" t="str">
        <f>IF(B8="","",VLOOKUP(B8,'Tabla de proceso'!$B$6:$G$25,2,))</f>
        <v/>
      </c>
      <c r="D8" s="17" t="str">
        <f>IF(B8="","",VLOOKUP(B8,'Tabla de proceso'!$B$5:$G$25,3,0))</f>
        <v/>
      </c>
      <c r="E8" s="13" t="str">
        <f t="shared" ref="E8" si="16">D8</f>
        <v/>
      </c>
      <c r="F8" s="13" t="str">
        <f t="shared" ref="F8" si="17">IF(E8="","",+$E8/9)</f>
        <v/>
      </c>
      <c r="G8" s="13" t="str">
        <f t="shared" ref="G8" si="18">IF(E8="","",($E8/60)/9)</f>
        <v/>
      </c>
      <c r="H8" s="13" t="e">
        <f t="shared" si="3"/>
        <v>#VALUE!</v>
      </c>
      <c r="I8" s="47"/>
      <c r="J8" s="16">
        <f t="shared" ref="J8" si="19">+WEEKNUM(I8)</f>
        <v>0</v>
      </c>
      <c r="K8" s="45" t="str">
        <f t="shared" si="5"/>
        <v>sábado</v>
      </c>
      <c r="L8" s="49"/>
      <c r="M8" s="50"/>
      <c r="N8" s="52">
        <f t="shared" si="6"/>
        <v>0</v>
      </c>
      <c r="O8" s="52">
        <f t="shared" si="7"/>
        <v>0</v>
      </c>
      <c r="P8" s="53">
        <f t="shared" si="8"/>
        <v>0</v>
      </c>
      <c r="Q8" s="54" t="str">
        <f t="shared" ref="Q8" si="20">IF(G8="","",+$G8*$P8)</f>
        <v/>
      </c>
      <c r="R8" s="59" t="str">
        <f t="shared" si="10"/>
        <v/>
      </c>
      <c r="S8" s="51"/>
    </row>
    <row r="9" spans="1:19" s="44" customFormat="1">
      <c r="A9" s="15"/>
      <c r="B9" s="34"/>
      <c r="C9" s="18" t="str">
        <f>IF(B9="","",VLOOKUP(B9,'Tabla de proceso'!$B$6:$G$25,2,))</f>
        <v/>
      </c>
      <c r="D9" s="17" t="str">
        <f>IF(B9="","",VLOOKUP(B9,'Tabla de proceso'!$B$5:$G$25,3,0))</f>
        <v/>
      </c>
      <c r="E9" s="13" t="str">
        <f t="shared" ref="E9" si="21">D9</f>
        <v/>
      </c>
      <c r="F9" s="13" t="str">
        <f t="shared" ref="F9" si="22">IF(E9="","",+$E9/9)</f>
        <v/>
      </c>
      <c r="G9" s="13" t="str">
        <f t="shared" ref="G9" si="23">IF(E9="","",($E9/60)/9)</f>
        <v/>
      </c>
      <c r="H9" s="13" t="e">
        <f t="shared" si="3"/>
        <v>#VALUE!</v>
      </c>
      <c r="I9" s="47"/>
      <c r="J9" s="16">
        <f t="shared" ref="J9" si="24">+WEEKNUM(I9)</f>
        <v>0</v>
      </c>
      <c r="K9" s="45" t="str">
        <f t="shared" si="5"/>
        <v>sábado</v>
      </c>
      <c r="L9" s="49"/>
      <c r="M9" s="50"/>
      <c r="N9" s="52">
        <f t="shared" si="6"/>
        <v>0</v>
      </c>
      <c r="O9" s="52">
        <f t="shared" si="7"/>
        <v>0</v>
      </c>
      <c r="P9" s="53">
        <f t="shared" si="8"/>
        <v>0</v>
      </c>
      <c r="Q9" s="54" t="str">
        <f t="shared" ref="Q9" si="25">IF(G9="","",+$G9*$P9)</f>
        <v/>
      </c>
      <c r="R9" s="59" t="str">
        <f t="shared" si="10"/>
        <v/>
      </c>
      <c r="S9" s="51"/>
    </row>
    <row r="10" spans="1:19" s="44" customFormat="1">
      <c r="A10" s="15"/>
      <c r="B10" s="34"/>
      <c r="C10" s="18" t="str">
        <f>IF(B10="","",VLOOKUP(B10,'Tabla de proceso'!$B$6:$G$25,2,))</f>
        <v/>
      </c>
      <c r="D10" s="17" t="str">
        <f>IF(B10="","",VLOOKUP(B10,'Tabla de proceso'!$B$5:$G$25,3,0))</f>
        <v/>
      </c>
      <c r="E10" s="13" t="str">
        <f t="shared" ref="E10" si="26">D10</f>
        <v/>
      </c>
      <c r="F10" s="13" t="str">
        <f t="shared" ref="F10" si="27">IF(E10="","",+$E10/9)</f>
        <v/>
      </c>
      <c r="G10" s="13" t="str">
        <f t="shared" ref="G10" si="28">IF(E10="","",($E10/60)/9)</f>
        <v/>
      </c>
      <c r="H10" s="13" t="e">
        <f t="shared" si="3"/>
        <v>#VALUE!</v>
      </c>
      <c r="I10" s="47"/>
      <c r="J10" s="16">
        <f t="shared" ref="J10" si="29">+WEEKNUM(I10)</f>
        <v>0</v>
      </c>
      <c r="K10" s="45" t="str">
        <f t="shared" si="5"/>
        <v>sábado</v>
      </c>
      <c r="L10" s="49"/>
      <c r="M10" s="50"/>
      <c r="N10" s="52">
        <f t="shared" si="6"/>
        <v>0</v>
      </c>
      <c r="O10" s="52">
        <f t="shared" si="7"/>
        <v>0</v>
      </c>
      <c r="P10" s="53">
        <f t="shared" si="8"/>
        <v>0</v>
      </c>
      <c r="Q10" s="54" t="str">
        <f t="shared" ref="Q10" si="30">IF(G10="","",+$G10*$P10)</f>
        <v/>
      </c>
      <c r="R10" s="59" t="str">
        <f t="shared" si="10"/>
        <v/>
      </c>
      <c r="S10" s="51"/>
    </row>
    <row r="11" spans="1:19" s="44" customFormat="1">
      <c r="A11" s="15"/>
      <c r="B11" s="34"/>
      <c r="C11" s="18" t="str">
        <f>IF(B11="","",VLOOKUP(B11,'Tabla de proceso'!$B$6:$G$25,2,))</f>
        <v/>
      </c>
      <c r="D11" s="17" t="str">
        <f>IF(B11="","",VLOOKUP(B11,'Tabla de proceso'!$B$5:$G$25,3,0))</f>
        <v/>
      </c>
      <c r="E11" s="13" t="str">
        <f t="shared" ref="E11" si="31">D11</f>
        <v/>
      </c>
      <c r="F11" s="13" t="str">
        <f t="shared" ref="F11" si="32">IF(E11="","",+$E11/9)</f>
        <v/>
      </c>
      <c r="G11" s="13" t="str">
        <f t="shared" ref="G11" si="33">IF(E11="","",($E11/60)/9)</f>
        <v/>
      </c>
      <c r="H11" s="13" t="e">
        <f t="shared" si="3"/>
        <v>#VALUE!</v>
      </c>
      <c r="I11" s="47"/>
      <c r="J11" s="16">
        <f t="shared" ref="J11" si="34">+WEEKNUM(I11)</f>
        <v>0</v>
      </c>
      <c r="K11" s="45" t="str">
        <f t="shared" si="5"/>
        <v>sábado</v>
      </c>
      <c r="L11" s="49"/>
      <c r="M11" s="50"/>
      <c r="N11" s="52">
        <f t="shared" si="6"/>
        <v>0</v>
      </c>
      <c r="O11" s="52">
        <f t="shared" si="7"/>
        <v>0</v>
      </c>
      <c r="P11" s="53">
        <f t="shared" si="8"/>
        <v>0</v>
      </c>
      <c r="Q11" s="54" t="str">
        <f t="shared" ref="Q11" si="35">IF(G11="","",+$G11*$P11)</f>
        <v/>
      </c>
      <c r="R11" s="59" t="str">
        <f t="shared" si="10"/>
        <v/>
      </c>
      <c r="S11" s="51"/>
    </row>
    <row r="12" spans="1:19" s="44" customFormat="1">
      <c r="A12" s="15"/>
      <c r="B12" s="34"/>
      <c r="C12" s="18" t="str">
        <f>IF(B12="","",VLOOKUP(B12,'Tabla de proceso'!$B$6:$G$25,2,))</f>
        <v/>
      </c>
      <c r="D12" s="17" t="str">
        <f>IF(B12="","",VLOOKUP(B12,'Tabla de proceso'!$B$5:$G$25,3,0))</f>
        <v/>
      </c>
      <c r="E12" s="13" t="str">
        <f t="shared" ref="E12" si="36">D12</f>
        <v/>
      </c>
      <c r="F12" s="13" t="str">
        <f t="shared" ref="F12" si="37">IF(E12="","",+$E12/9)</f>
        <v/>
      </c>
      <c r="G12" s="13" t="str">
        <f t="shared" ref="G12" si="38">IF(E12="","",($E12/60)/9)</f>
        <v/>
      </c>
      <c r="H12" s="13" t="e">
        <f t="shared" si="3"/>
        <v>#VALUE!</v>
      </c>
      <c r="I12" s="47"/>
      <c r="J12" s="16">
        <f t="shared" ref="J12" si="39">+WEEKNUM(I12)</f>
        <v>0</v>
      </c>
      <c r="K12" s="45" t="str">
        <f t="shared" si="5"/>
        <v>sábado</v>
      </c>
      <c r="L12" s="49"/>
      <c r="M12" s="50"/>
      <c r="N12" s="52">
        <f t="shared" si="6"/>
        <v>0</v>
      </c>
      <c r="O12" s="52">
        <f t="shared" si="7"/>
        <v>0</v>
      </c>
      <c r="P12" s="53">
        <f t="shared" si="8"/>
        <v>0</v>
      </c>
      <c r="Q12" s="54" t="str">
        <f t="shared" ref="Q12" si="40">IF(G12="","",+$G12*$P12)</f>
        <v/>
      </c>
      <c r="R12" s="59" t="str">
        <f t="shared" si="10"/>
        <v/>
      </c>
      <c r="S12" s="51"/>
    </row>
    <row r="13" spans="1:19" s="44" customFormat="1">
      <c r="A13" s="15"/>
      <c r="B13" s="34"/>
      <c r="C13" s="18" t="str">
        <f>IF(B13="","",VLOOKUP(B13,'Tabla de proceso'!$B$6:$G$25,2,))</f>
        <v/>
      </c>
      <c r="D13" s="17" t="str">
        <f>IF(B13="","",VLOOKUP(B13,'Tabla de proceso'!$B$5:$G$25,3,0))</f>
        <v/>
      </c>
      <c r="E13" s="13" t="str">
        <f t="shared" ref="E13" si="41">D13</f>
        <v/>
      </c>
      <c r="F13" s="13" t="str">
        <f t="shared" ref="F13" si="42">IF(E13="","",+$E13/9)</f>
        <v/>
      </c>
      <c r="G13" s="13" t="str">
        <f t="shared" ref="G13" si="43">IF(E13="","",($E13/60)/9)</f>
        <v/>
      </c>
      <c r="H13" s="13" t="e">
        <f t="shared" si="3"/>
        <v>#VALUE!</v>
      </c>
      <c r="I13" s="47"/>
      <c r="J13" s="16">
        <f t="shared" ref="J13" si="44">+WEEKNUM(I13)</f>
        <v>0</v>
      </c>
      <c r="K13" s="45" t="str">
        <f t="shared" si="5"/>
        <v>sábado</v>
      </c>
      <c r="L13" s="49"/>
      <c r="M13" s="50"/>
      <c r="N13" s="52">
        <f t="shared" si="6"/>
        <v>0</v>
      </c>
      <c r="O13" s="52">
        <f t="shared" si="7"/>
        <v>0</v>
      </c>
      <c r="P13" s="53">
        <f t="shared" si="8"/>
        <v>0</v>
      </c>
      <c r="Q13" s="54" t="str">
        <f t="shared" ref="Q13" si="45">IF(G13="","",+$G13*$P13)</f>
        <v/>
      </c>
      <c r="R13" s="59" t="str">
        <f t="shared" si="10"/>
        <v/>
      </c>
      <c r="S13" s="51"/>
    </row>
    <row r="14" spans="1:19" s="44" customFormat="1">
      <c r="A14" s="15"/>
      <c r="B14" s="34"/>
      <c r="C14" s="18" t="str">
        <f>IF(B14="","",VLOOKUP(B14,'Tabla de proceso'!$B$6:$G$25,2,))</f>
        <v/>
      </c>
      <c r="D14" s="17" t="str">
        <f>IF(B14="","",VLOOKUP(B14,'Tabla de proceso'!$B$5:$G$25,3,0))</f>
        <v/>
      </c>
      <c r="E14" s="13" t="str">
        <f t="shared" ref="E14" si="46">D14</f>
        <v/>
      </c>
      <c r="F14" s="13" t="str">
        <f t="shared" ref="F14" si="47">IF(E14="","",+$E14/9)</f>
        <v/>
      </c>
      <c r="G14" s="13" t="str">
        <f t="shared" ref="G14" si="48">IF(E14="","",($E14/60)/9)</f>
        <v/>
      </c>
      <c r="H14" s="13" t="e">
        <f t="shared" si="3"/>
        <v>#VALUE!</v>
      </c>
      <c r="I14" s="47"/>
      <c r="J14" s="16">
        <f t="shared" ref="J14" si="49">+WEEKNUM(I14)</f>
        <v>0</v>
      </c>
      <c r="K14" s="45" t="str">
        <f t="shared" si="5"/>
        <v>sábado</v>
      </c>
      <c r="L14" s="49"/>
      <c r="M14" s="50"/>
      <c r="N14" s="52">
        <f t="shared" si="6"/>
        <v>0</v>
      </c>
      <c r="O14" s="52">
        <f t="shared" si="7"/>
        <v>0</v>
      </c>
      <c r="P14" s="53">
        <f t="shared" si="8"/>
        <v>0</v>
      </c>
      <c r="Q14" s="54" t="str">
        <f t="shared" ref="Q14" si="50">IF(G14="","",+$G14*$P14)</f>
        <v/>
      </c>
      <c r="R14" s="59" t="str">
        <f t="shared" si="10"/>
        <v/>
      </c>
      <c r="S14" s="51"/>
    </row>
    <row r="15" spans="1:19" s="44" customFormat="1">
      <c r="A15" s="15"/>
      <c r="B15" s="34"/>
      <c r="C15" s="18" t="str">
        <f>IF(B15="","",VLOOKUP(B15,'Tabla de proceso'!$B$6:$G$25,2,))</f>
        <v/>
      </c>
      <c r="D15" s="17" t="str">
        <f>IF(B15="","",VLOOKUP(B15,'Tabla de proceso'!$B$5:$G$25,3,0))</f>
        <v/>
      </c>
      <c r="E15" s="13" t="str">
        <f t="shared" ref="E15" si="51">D15</f>
        <v/>
      </c>
      <c r="F15" s="13" t="str">
        <f t="shared" ref="F15" si="52">IF(E15="","",+$E15/9)</f>
        <v/>
      </c>
      <c r="G15" s="13" t="str">
        <f t="shared" ref="G15" si="53">IF(E15="","",($E15/60)/9)</f>
        <v/>
      </c>
      <c r="H15" s="13" t="e">
        <f t="shared" si="3"/>
        <v>#VALUE!</v>
      </c>
      <c r="I15" s="47"/>
      <c r="J15" s="16">
        <f t="shared" ref="J15" si="54">+WEEKNUM(I15)</f>
        <v>0</v>
      </c>
      <c r="K15" s="45" t="str">
        <f t="shared" si="5"/>
        <v>sábado</v>
      </c>
      <c r="L15" s="49"/>
      <c r="M15" s="50"/>
      <c r="N15" s="52">
        <f t="shared" si="6"/>
        <v>0</v>
      </c>
      <c r="O15" s="52">
        <f t="shared" si="7"/>
        <v>0</v>
      </c>
      <c r="P15" s="53">
        <f t="shared" si="8"/>
        <v>0</v>
      </c>
      <c r="Q15" s="54" t="str">
        <f t="shared" ref="Q15" si="55">IF(G15="","",+$G15*$P15)</f>
        <v/>
      </c>
      <c r="R15" s="59" t="str">
        <f t="shared" si="10"/>
        <v/>
      </c>
      <c r="S15" s="51"/>
    </row>
    <row r="16" spans="1:19" s="44" customFormat="1">
      <c r="A16" s="15"/>
      <c r="B16" s="34"/>
      <c r="C16" s="18" t="str">
        <f>IF(B16="","",VLOOKUP(B16,'Tabla de proceso'!$B$6:$G$25,2,))</f>
        <v/>
      </c>
      <c r="D16" s="17" t="str">
        <f>IF(B16="","",VLOOKUP(B16,'Tabla de proceso'!$B$5:$G$25,3,0))</f>
        <v/>
      </c>
      <c r="E16" s="13" t="str">
        <f t="shared" ref="E16" si="56">D16</f>
        <v/>
      </c>
      <c r="F16" s="13" t="str">
        <f t="shared" ref="F16" si="57">IF(E16="","",+$E16/9)</f>
        <v/>
      </c>
      <c r="G16" s="13" t="str">
        <f t="shared" ref="G16" si="58">IF(E16="","",($E16/60)/9)</f>
        <v/>
      </c>
      <c r="H16" s="13" t="e">
        <f t="shared" si="3"/>
        <v>#VALUE!</v>
      </c>
      <c r="I16" s="47"/>
      <c r="J16" s="16">
        <f t="shared" ref="J16" si="59">+WEEKNUM(I16)</f>
        <v>0</v>
      </c>
      <c r="K16" s="45" t="str">
        <f t="shared" si="5"/>
        <v>sábado</v>
      </c>
      <c r="L16" s="49"/>
      <c r="M16" s="50"/>
      <c r="N16" s="52">
        <f t="shared" si="6"/>
        <v>0</v>
      </c>
      <c r="O16" s="52">
        <f t="shared" si="7"/>
        <v>0</v>
      </c>
      <c r="P16" s="53">
        <f t="shared" si="8"/>
        <v>0</v>
      </c>
      <c r="Q16" s="54" t="str">
        <f t="shared" ref="Q16" si="60">IF(G16="","",+$G16*$P16)</f>
        <v/>
      </c>
      <c r="R16" s="59" t="str">
        <f t="shared" si="10"/>
        <v/>
      </c>
      <c r="S16" s="51"/>
    </row>
    <row r="17" spans="1:19" s="44" customFormat="1">
      <c r="A17" s="15"/>
      <c r="B17" s="34"/>
      <c r="C17" s="18" t="str">
        <f>IF(B17="","",VLOOKUP(B17,'Tabla de proceso'!$B$6:$G$25,2,))</f>
        <v/>
      </c>
      <c r="D17" s="17" t="str">
        <f>IF(B17="","",VLOOKUP(B17,'Tabla de proceso'!$B$5:$G$25,3,0))</f>
        <v/>
      </c>
      <c r="E17" s="13" t="str">
        <f t="shared" ref="E17" si="61">D17</f>
        <v/>
      </c>
      <c r="F17" s="13" t="str">
        <f t="shared" ref="F17" si="62">IF(E17="","",+$E17/9)</f>
        <v/>
      </c>
      <c r="G17" s="13" t="str">
        <f t="shared" ref="G17" si="63">IF(E17="","",($E17/60)/9)</f>
        <v/>
      </c>
      <c r="H17" s="13" t="e">
        <f t="shared" si="3"/>
        <v>#VALUE!</v>
      </c>
      <c r="I17" s="47"/>
      <c r="J17" s="16">
        <f t="shared" ref="J17" si="64">+WEEKNUM(I17)</f>
        <v>0</v>
      </c>
      <c r="K17" s="45" t="str">
        <f t="shared" si="5"/>
        <v>sábado</v>
      </c>
      <c r="L17" s="49"/>
      <c r="M17" s="50"/>
      <c r="N17" s="52">
        <f t="shared" si="6"/>
        <v>0</v>
      </c>
      <c r="O17" s="52">
        <f t="shared" si="7"/>
        <v>0</v>
      </c>
      <c r="P17" s="53">
        <f t="shared" si="8"/>
        <v>0</v>
      </c>
      <c r="Q17" s="54" t="str">
        <f t="shared" ref="Q17" si="65">IF(G17="","",+$G17*$P17)</f>
        <v/>
      </c>
      <c r="R17" s="59" t="str">
        <f t="shared" si="10"/>
        <v/>
      </c>
      <c r="S17" s="51"/>
    </row>
    <row r="18" spans="1:19" s="44" customFormat="1">
      <c r="A18" s="15"/>
      <c r="B18" s="34"/>
      <c r="C18" s="18" t="str">
        <f>IF(B18="","",VLOOKUP(B18,'Tabla de proceso'!$B$6:$G$25,2,))</f>
        <v/>
      </c>
      <c r="D18" s="17" t="str">
        <f>IF(B18="","",VLOOKUP(B18,'Tabla de proceso'!$B$5:$G$25,3,0))</f>
        <v/>
      </c>
      <c r="E18" s="13" t="str">
        <f t="shared" ref="E18" si="66">D18</f>
        <v/>
      </c>
      <c r="F18" s="13" t="str">
        <f t="shared" ref="F18" si="67">IF(E18="","",+$E18/9)</f>
        <v/>
      </c>
      <c r="G18" s="13" t="str">
        <f t="shared" ref="G18" si="68">IF(E18="","",($E18/60)/9)</f>
        <v/>
      </c>
      <c r="H18" s="13" t="e">
        <f t="shared" si="3"/>
        <v>#VALUE!</v>
      </c>
      <c r="I18" s="47"/>
      <c r="J18" s="16">
        <f t="shared" ref="J18" si="69">+WEEKNUM(I18)</f>
        <v>0</v>
      </c>
      <c r="K18" s="45" t="str">
        <f t="shared" si="5"/>
        <v>sábado</v>
      </c>
      <c r="L18" s="49"/>
      <c r="M18" s="50"/>
      <c r="N18" s="52">
        <f t="shared" si="6"/>
        <v>0</v>
      </c>
      <c r="O18" s="52">
        <f t="shared" si="7"/>
        <v>0</v>
      </c>
      <c r="P18" s="53">
        <f t="shared" si="8"/>
        <v>0</v>
      </c>
      <c r="Q18" s="54" t="str">
        <f t="shared" ref="Q18" si="70">IF(G18="","",+$G18*$P18)</f>
        <v/>
      </c>
      <c r="R18" s="59" t="str">
        <f t="shared" si="10"/>
        <v/>
      </c>
      <c r="S18" s="51"/>
    </row>
    <row r="19" spans="1:19" s="44" customFormat="1">
      <c r="A19" s="15"/>
      <c r="B19" s="34"/>
      <c r="C19" s="18" t="str">
        <f>IF(B19="","",VLOOKUP(B19,'Tabla de proceso'!$B$6:$G$25,2,))</f>
        <v/>
      </c>
      <c r="D19" s="17" t="str">
        <f>IF(B19="","",VLOOKUP(B19,'Tabla de proceso'!$B$5:$G$25,3,0))</f>
        <v/>
      </c>
      <c r="E19" s="13" t="str">
        <f t="shared" ref="E19" si="71">D19</f>
        <v/>
      </c>
      <c r="F19" s="13" t="str">
        <f t="shared" ref="F19" si="72">IF(E19="","",+$E19/9)</f>
        <v/>
      </c>
      <c r="G19" s="13" t="str">
        <f t="shared" ref="G19" si="73">IF(E19="","",($E19/60)/9)</f>
        <v/>
      </c>
      <c r="H19" s="13" t="e">
        <f t="shared" si="3"/>
        <v>#VALUE!</v>
      </c>
      <c r="I19" s="47"/>
      <c r="J19" s="16">
        <f t="shared" ref="J19" si="74">+WEEKNUM(I19)</f>
        <v>0</v>
      </c>
      <c r="K19" s="45" t="str">
        <f t="shared" si="5"/>
        <v>sábado</v>
      </c>
      <c r="L19" s="49"/>
      <c r="M19" s="50"/>
      <c r="N19" s="52">
        <f t="shared" si="6"/>
        <v>0</v>
      </c>
      <c r="O19" s="52">
        <f t="shared" si="7"/>
        <v>0</v>
      </c>
      <c r="P19" s="53">
        <f t="shared" si="8"/>
        <v>0</v>
      </c>
      <c r="Q19" s="54" t="str">
        <f t="shared" ref="Q19" si="75">IF(G19="","",+$G19*$P19)</f>
        <v/>
      </c>
      <c r="R19" s="59" t="str">
        <f t="shared" si="10"/>
        <v/>
      </c>
      <c r="S19" s="51"/>
    </row>
    <row r="20" spans="1:19" s="44" customFormat="1">
      <c r="A20" s="15"/>
      <c r="B20" s="34"/>
      <c r="C20" s="18" t="str">
        <f>IF(B20="","",VLOOKUP(B20,'Tabla de proceso'!$B$6:$G$25,2,))</f>
        <v/>
      </c>
      <c r="D20" s="17" t="str">
        <f>IF(B20="","",VLOOKUP(B20,'Tabla de proceso'!$B$5:$G$25,3,0))</f>
        <v/>
      </c>
      <c r="E20" s="13" t="str">
        <f t="shared" ref="E20" si="76">D20</f>
        <v/>
      </c>
      <c r="F20" s="13" t="str">
        <f t="shared" ref="F20" si="77">IF(E20="","",+$E20/9)</f>
        <v/>
      </c>
      <c r="G20" s="13" t="str">
        <f t="shared" ref="G20" si="78">IF(E20="","",($E20/60)/9)</f>
        <v/>
      </c>
      <c r="H20" s="13" t="e">
        <f t="shared" si="3"/>
        <v>#VALUE!</v>
      </c>
      <c r="I20" s="47"/>
      <c r="J20" s="16">
        <f t="shared" ref="J20" si="79">+WEEKNUM(I20)</f>
        <v>0</v>
      </c>
      <c r="K20" s="45" t="str">
        <f t="shared" si="5"/>
        <v>sábado</v>
      </c>
      <c r="L20" s="49"/>
      <c r="M20" s="50"/>
      <c r="N20" s="52">
        <f t="shared" si="6"/>
        <v>0</v>
      </c>
      <c r="O20" s="52">
        <f t="shared" si="7"/>
        <v>0</v>
      </c>
      <c r="P20" s="53">
        <f t="shared" si="8"/>
        <v>0</v>
      </c>
      <c r="Q20" s="54" t="str">
        <f t="shared" ref="Q20" si="80">IF(G20="","",+$G20*$P20)</f>
        <v/>
      </c>
      <c r="R20" s="59" t="str">
        <f t="shared" si="10"/>
        <v/>
      </c>
      <c r="S20" s="51"/>
    </row>
    <row r="21" spans="1:19" s="44" customFormat="1">
      <c r="A21" s="15"/>
      <c r="B21" s="34"/>
      <c r="C21" s="18" t="str">
        <f>IF(B21="","",VLOOKUP(B21,'Tabla de proceso'!$B$6:$G$25,2,))</f>
        <v/>
      </c>
      <c r="D21" s="17" t="str">
        <f>IF(B21="","",VLOOKUP(B21,'Tabla de proceso'!$B$5:$G$25,3,0))</f>
        <v/>
      </c>
      <c r="E21" s="13" t="str">
        <f t="shared" ref="E21" si="81">D21</f>
        <v/>
      </c>
      <c r="F21" s="13" t="str">
        <f t="shared" ref="F21" si="82">IF(E21="","",+$E21/9)</f>
        <v/>
      </c>
      <c r="G21" s="13" t="str">
        <f t="shared" ref="G21" si="83">IF(E21="","",($E21/60)/9)</f>
        <v/>
      </c>
      <c r="H21" s="13" t="e">
        <f t="shared" si="3"/>
        <v>#VALUE!</v>
      </c>
      <c r="I21" s="47"/>
      <c r="J21" s="16">
        <f t="shared" ref="J21" si="84">+WEEKNUM(I21)</f>
        <v>0</v>
      </c>
      <c r="K21" s="45" t="str">
        <f t="shared" si="5"/>
        <v>sábado</v>
      </c>
      <c r="L21" s="49"/>
      <c r="M21" s="50"/>
      <c r="N21" s="52">
        <f t="shared" si="6"/>
        <v>0</v>
      </c>
      <c r="O21" s="52">
        <f t="shared" si="7"/>
        <v>0</v>
      </c>
      <c r="P21" s="53">
        <f t="shared" si="8"/>
        <v>0</v>
      </c>
      <c r="Q21" s="54" t="str">
        <f t="shared" ref="Q21" si="85">IF(G21="","",+$G21*$P21)</f>
        <v/>
      </c>
      <c r="R21" s="59" t="str">
        <f t="shared" si="10"/>
        <v/>
      </c>
      <c r="S21" s="51"/>
    </row>
    <row r="22" spans="1:19" s="44" customFormat="1">
      <c r="A22" s="15"/>
      <c r="B22" s="34"/>
      <c r="C22" s="18" t="str">
        <f>IF(B22="","",VLOOKUP(B22,'Tabla de proceso'!$B$6:$G$25,2,))</f>
        <v/>
      </c>
      <c r="D22" s="17" t="str">
        <f>IF(B22="","",VLOOKUP(B22,'Tabla de proceso'!$B$5:$G$25,3,0))</f>
        <v/>
      </c>
      <c r="E22" s="13" t="str">
        <f t="shared" ref="E22" si="86">D22</f>
        <v/>
      </c>
      <c r="F22" s="13" t="str">
        <f t="shared" ref="F22" si="87">IF(E22="","",+$E22/9)</f>
        <v/>
      </c>
      <c r="G22" s="13" t="str">
        <f t="shared" ref="G22" si="88">IF(E22="","",($E22/60)/9)</f>
        <v/>
      </c>
      <c r="H22" s="13" t="e">
        <f t="shared" si="3"/>
        <v>#VALUE!</v>
      </c>
      <c r="I22" s="47"/>
      <c r="J22" s="16">
        <f t="shared" ref="J22" si="89">+WEEKNUM(I22)</f>
        <v>0</v>
      </c>
      <c r="K22" s="45" t="str">
        <f t="shared" si="5"/>
        <v>sábado</v>
      </c>
      <c r="L22" s="49"/>
      <c r="M22" s="50"/>
      <c r="N22" s="52">
        <f t="shared" si="6"/>
        <v>0</v>
      </c>
      <c r="O22" s="52">
        <f t="shared" si="7"/>
        <v>0</v>
      </c>
      <c r="P22" s="53">
        <f t="shared" si="8"/>
        <v>0</v>
      </c>
      <c r="Q22" s="54" t="str">
        <f t="shared" ref="Q22" si="90">IF(G22="","",+$G22*$P22)</f>
        <v/>
      </c>
      <c r="R22" s="59" t="str">
        <f t="shared" si="10"/>
        <v/>
      </c>
      <c r="S22" s="51"/>
    </row>
    <row r="23" spans="1:19" s="44" customFormat="1">
      <c r="A23" s="15"/>
      <c r="B23" s="34"/>
      <c r="C23" s="18" t="str">
        <f>IF(B23="","",VLOOKUP(B23,'Tabla de proceso'!$B$6:$G$25,2,))</f>
        <v/>
      </c>
      <c r="D23" s="17" t="str">
        <f>IF(B23="","",VLOOKUP(B23,'Tabla de proceso'!$B$5:$G$25,3,0))</f>
        <v/>
      </c>
      <c r="E23" s="13" t="str">
        <f t="shared" ref="E23" si="91">D23</f>
        <v/>
      </c>
      <c r="F23" s="13" t="str">
        <f t="shared" ref="F23" si="92">IF(E23="","",+$E23/9)</f>
        <v/>
      </c>
      <c r="G23" s="13" t="str">
        <f t="shared" ref="G23" si="93">IF(E23="","",($E23/60)/9)</f>
        <v/>
      </c>
      <c r="H23" s="13" t="e">
        <f t="shared" si="3"/>
        <v>#VALUE!</v>
      </c>
      <c r="I23" s="47"/>
      <c r="J23" s="16">
        <f t="shared" ref="J23" si="94">+WEEKNUM(I23)</f>
        <v>0</v>
      </c>
      <c r="K23" s="45" t="str">
        <f t="shared" si="5"/>
        <v>sábado</v>
      </c>
      <c r="L23" s="49"/>
      <c r="M23" s="50"/>
      <c r="N23" s="52">
        <f t="shared" si="6"/>
        <v>0</v>
      </c>
      <c r="O23" s="52">
        <f t="shared" si="7"/>
        <v>0</v>
      </c>
      <c r="P23" s="53">
        <f t="shared" si="8"/>
        <v>0</v>
      </c>
      <c r="Q23" s="54" t="str">
        <f t="shared" ref="Q23" si="95">IF(G23="","",+$G23*$P23)</f>
        <v/>
      </c>
      <c r="R23" s="59" t="str">
        <f t="shared" si="10"/>
        <v/>
      </c>
      <c r="S23" s="51"/>
    </row>
    <row r="24" spans="1:19" s="44" customFormat="1">
      <c r="A24" s="15"/>
      <c r="B24" s="34"/>
      <c r="C24" s="18" t="str">
        <f>IF(B24="","",VLOOKUP(B24,'Tabla de proceso'!$B$6:$G$25,2,))</f>
        <v/>
      </c>
      <c r="D24" s="17" t="str">
        <f>IF(B24="","",VLOOKUP(B24,'Tabla de proceso'!$B$5:$G$25,3,0))</f>
        <v/>
      </c>
      <c r="E24" s="13" t="str">
        <f t="shared" ref="E24" si="96">D24</f>
        <v/>
      </c>
      <c r="F24" s="13" t="str">
        <f t="shared" ref="F24" si="97">IF(E24="","",+$E24/9)</f>
        <v/>
      </c>
      <c r="G24" s="13" t="str">
        <f t="shared" ref="G24" si="98">IF(E24="","",($E24/60)/9)</f>
        <v/>
      </c>
      <c r="H24" s="13" t="e">
        <f t="shared" si="3"/>
        <v>#VALUE!</v>
      </c>
      <c r="I24" s="47"/>
      <c r="J24" s="16">
        <f t="shared" ref="J24" si="99">+WEEKNUM(I24)</f>
        <v>0</v>
      </c>
      <c r="K24" s="45" t="str">
        <f t="shared" si="5"/>
        <v>sábado</v>
      </c>
      <c r="L24" s="49"/>
      <c r="M24" s="50"/>
      <c r="N24" s="52">
        <f t="shared" si="6"/>
        <v>0</v>
      </c>
      <c r="O24" s="52">
        <f t="shared" si="7"/>
        <v>0</v>
      </c>
      <c r="P24" s="53">
        <f t="shared" si="8"/>
        <v>0</v>
      </c>
      <c r="Q24" s="54" t="str">
        <f t="shared" ref="Q24" si="100">IF(G24="","",+$G24*$P24)</f>
        <v/>
      </c>
      <c r="R24" s="59" t="str">
        <f t="shared" si="10"/>
        <v/>
      </c>
      <c r="S24" s="51"/>
    </row>
    <row r="25" spans="1:19" s="44" customFormat="1">
      <c r="A25" s="15"/>
      <c r="B25" s="71"/>
      <c r="C25" s="18" t="str">
        <f>IF(B25="","",VLOOKUP(B25,'Tabla de proceso'!$B$6:$G$25,2,))</f>
        <v/>
      </c>
      <c r="D25" s="17" t="str">
        <f>IF(B25="","",VLOOKUP(B25,'Tabla de proceso'!$B$5:$G$25,3,0))</f>
        <v/>
      </c>
      <c r="E25" s="13" t="str">
        <f t="shared" ref="E25" si="101">D25</f>
        <v/>
      </c>
      <c r="F25" s="13" t="str">
        <f t="shared" ref="F25" si="102">IF(E25="","",+$E25/9)</f>
        <v/>
      </c>
      <c r="G25" s="13" t="str">
        <f t="shared" ref="G25" si="103">IF(E25="","",($E25/60)/9)</f>
        <v/>
      </c>
      <c r="H25" s="13" t="e">
        <f t="shared" si="3"/>
        <v>#VALUE!</v>
      </c>
      <c r="I25" s="47"/>
      <c r="J25" s="16">
        <f t="shared" ref="J25" si="104">+WEEKNUM(I25)</f>
        <v>0</v>
      </c>
      <c r="K25" s="45" t="str">
        <f t="shared" si="5"/>
        <v>sábado</v>
      </c>
      <c r="L25" s="49"/>
      <c r="M25" s="50"/>
      <c r="N25" s="52">
        <f t="shared" si="6"/>
        <v>0</v>
      </c>
      <c r="O25" s="52">
        <f t="shared" si="7"/>
        <v>0</v>
      </c>
      <c r="P25" s="53">
        <f t="shared" si="8"/>
        <v>0</v>
      </c>
      <c r="Q25" s="54" t="str">
        <f t="shared" ref="Q25" si="105">IF(G25="","",+$G25*$P25)</f>
        <v/>
      </c>
      <c r="R25" s="59" t="str">
        <f t="shared" si="10"/>
        <v/>
      </c>
      <c r="S25" s="51"/>
    </row>
    <row r="26" spans="1:19" s="44" customFormat="1">
      <c r="A26" s="15"/>
      <c r="B26" s="34"/>
      <c r="C26" s="18" t="str">
        <f>IF(B26="","",VLOOKUP(B26,'Tabla de proceso'!$B$6:$G$25,2,))</f>
        <v/>
      </c>
      <c r="D26" s="17" t="str">
        <f>IF(B26="","",VLOOKUP(B26,'Tabla de proceso'!$B$5:$G$25,3,0))</f>
        <v/>
      </c>
      <c r="E26" s="13" t="str">
        <f t="shared" ref="E26" si="106">D26</f>
        <v/>
      </c>
      <c r="F26" s="13" t="str">
        <f t="shared" ref="F26" si="107">IF(E26="","",+$E26/9)</f>
        <v/>
      </c>
      <c r="G26" s="13" t="str">
        <f t="shared" ref="G26" si="108">IF(E26="","",($E26/60)/9)</f>
        <v/>
      </c>
      <c r="H26" s="13" t="e">
        <f t="shared" si="3"/>
        <v>#VALUE!</v>
      </c>
      <c r="I26" s="47"/>
      <c r="J26" s="16">
        <f t="shared" ref="J26" si="109">+WEEKNUM(I26)</f>
        <v>0</v>
      </c>
      <c r="K26" s="45" t="str">
        <f t="shared" si="5"/>
        <v>sábado</v>
      </c>
      <c r="L26" s="49"/>
      <c r="M26" s="50"/>
      <c r="N26" s="52">
        <f t="shared" si="6"/>
        <v>0</v>
      </c>
      <c r="O26" s="52">
        <f t="shared" si="7"/>
        <v>0</v>
      </c>
      <c r="P26" s="53">
        <f t="shared" si="8"/>
        <v>0</v>
      </c>
      <c r="Q26" s="54" t="str">
        <f t="shared" ref="Q26" si="110">IF(G26="","",+$G26*$P26)</f>
        <v/>
      </c>
      <c r="R26" s="59" t="str">
        <f t="shared" si="10"/>
        <v/>
      </c>
      <c r="S26" s="51"/>
    </row>
    <row r="27" spans="1:19" s="44" customFormat="1">
      <c r="A27" s="15"/>
      <c r="B27" s="34"/>
      <c r="C27" s="18" t="str">
        <f>IF(B27="","",VLOOKUP(B27,'Tabla de proceso'!$B$6:$G$25,2,))</f>
        <v/>
      </c>
      <c r="D27" s="17" t="str">
        <f>IF(B27="","",VLOOKUP(B27,'Tabla de proceso'!$B$5:$G$25,3,0))</f>
        <v/>
      </c>
      <c r="E27" s="13" t="str">
        <f t="shared" ref="E27" si="111">D27</f>
        <v/>
      </c>
      <c r="F27" s="13" t="str">
        <f t="shared" ref="F27" si="112">IF(E27="","",+$E27/9)</f>
        <v/>
      </c>
      <c r="G27" s="13" t="str">
        <f t="shared" ref="G27" si="113">IF(E27="","",($E27/60)/9)</f>
        <v/>
      </c>
      <c r="H27" s="13" t="e">
        <f t="shared" si="3"/>
        <v>#VALUE!</v>
      </c>
      <c r="I27" s="47"/>
      <c r="J27" s="16">
        <f t="shared" ref="J27" si="114">+WEEKNUM(I27)</f>
        <v>0</v>
      </c>
      <c r="K27" s="45" t="str">
        <f t="shared" si="5"/>
        <v>sábado</v>
      </c>
      <c r="L27" s="49"/>
      <c r="M27" s="50"/>
      <c r="N27" s="52">
        <f t="shared" si="6"/>
        <v>0</v>
      </c>
      <c r="O27" s="52">
        <f t="shared" si="7"/>
        <v>0</v>
      </c>
      <c r="P27" s="53">
        <f t="shared" si="8"/>
        <v>0</v>
      </c>
      <c r="Q27" s="54" t="str">
        <f t="shared" ref="Q27" si="115">IF(G27="","",+$G27*$P27)</f>
        <v/>
      </c>
      <c r="R27" s="59" t="str">
        <f t="shared" si="10"/>
        <v/>
      </c>
      <c r="S27" s="51"/>
    </row>
    <row r="28" spans="1:19" s="44" customFormat="1">
      <c r="A28" s="15"/>
      <c r="B28" s="34"/>
      <c r="C28" s="18" t="str">
        <f>IF(B28="","",VLOOKUP(B28,'Tabla de proceso'!$B$6:$G$25,2,))</f>
        <v/>
      </c>
      <c r="D28" s="17" t="str">
        <f>IF(B28="","",VLOOKUP(B28,'Tabla de proceso'!$B$5:$G$25,3,0))</f>
        <v/>
      </c>
      <c r="E28" s="13" t="str">
        <f t="shared" ref="E28" si="116">D28</f>
        <v/>
      </c>
      <c r="F28" s="13" t="str">
        <f t="shared" ref="F28" si="117">IF(E28="","",+$E28/9)</f>
        <v/>
      </c>
      <c r="G28" s="13" t="str">
        <f t="shared" ref="G28" si="118">IF(E28="","",($E28/60)/9)</f>
        <v/>
      </c>
      <c r="H28" s="13" t="e">
        <f t="shared" si="3"/>
        <v>#VALUE!</v>
      </c>
      <c r="I28" s="47"/>
      <c r="J28" s="16">
        <f t="shared" ref="J28" si="119">+WEEKNUM(I28)</f>
        <v>0</v>
      </c>
      <c r="K28" s="45" t="str">
        <f t="shared" si="5"/>
        <v>sábado</v>
      </c>
      <c r="L28" s="49"/>
      <c r="M28" s="50"/>
      <c r="N28" s="52">
        <f t="shared" si="6"/>
        <v>0</v>
      </c>
      <c r="O28" s="52">
        <f t="shared" si="7"/>
        <v>0</v>
      </c>
      <c r="P28" s="53">
        <f t="shared" si="8"/>
        <v>0</v>
      </c>
      <c r="Q28" s="54" t="str">
        <f t="shared" ref="Q28" si="120">IF(G28="","",+$G28*$P28)</f>
        <v/>
      </c>
      <c r="R28" s="59" t="str">
        <f t="shared" si="10"/>
        <v/>
      </c>
      <c r="S28" s="51"/>
    </row>
    <row r="29" spans="1:19" s="44" customFormat="1">
      <c r="A29" s="15"/>
      <c r="B29" s="56"/>
      <c r="C29" s="18" t="str">
        <f>IF(B29="","",VLOOKUP(B29,'Tabla de proceso'!$B$6:$G$25,2,))</f>
        <v/>
      </c>
      <c r="D29" s="17" t="str">
        <f>IF(B29="","",VLOOKUP(B29,'Tabla de proceso'!$B$5:$G$25,3,0))</f>
        <v/>
      </c>
      <c r="E29" s="13" t="str">
        <f t="shared" ref="E29" si="121">D29</f>
        <v/>
      </c>
      <c r="F29" s="13" t="str">
        <f t="shared" ref="F29" si="122">IF(E29="","",+$E29/9)</f>
        <v/>
      </c>
      <c r="G29" s="13" t="str">
        <f t="shared" ref="G29" si="123">IF(E29="","",($E29/60)/9)</f>
        <v/>
      </c>
      <c r="H29" s="13" t="e">
        <f t="shared" si="3"/>
        <v>#VALUE!</v>
      </c>
      <c r="I29" s="47"/>
      <c r="J29" s="16">
        <f t="shared" ref="J29" si="124">+WEEKNUM(I29)</f>
        <v>0</v>
      </c>
      <c r="K29" s="45" t="str">
        <f t="shared" si="5"/>
        <v>sábado</v>
      </c>
      <c r="L29" s="49"/>
      <c r="M29" s="50"/>
      <c r="N29" s="52">
        <f t="shared" si="6"/>
        <v>0</v>
      </c>
      <c r="O29" s="52">
        <f t="shared" si="7"/>
        <v>0</v>
      </c>
      <c r="P29" s="53">
        <f t="shared" si="8"/>
        <v>0</v>
      </c>
      <c r="Q29" s="54" t="str">
        <f t="shared" ref="Q29" si="125">IF(G29="","",+$G29*$P29)</f>
        <v/>
      </c>
      <c r="R29" s="59" t="str">
        <f t="shared" si="10"/>
        <v/>
      </c>
      <c r="S29" s="51"/>
    </row>
    <row r="30" spans="1:19" s="44" customFormat="1">
      <c r="A30" s="15"/>
      <c r="B30" s="56"/>
      <c r="C30" s="18" t="str">
        <f>IF(B30="","",VLOOKUP(B30,'Tabla de proceso'!$B$6:$G$25,2,))</f>
        <v/>
      </c>
      <c r="D30" s="17" t="str">
        <f>IF(B30="","",VLOOKUP(B30,'Tabla de proceso'!$B$5:$G$25,3,0))</f>
        <v/>
      </c>
      <c r="E30" s="13" t="str">
        <f t="shared" ref="E30" si="126">D30</f>
        <v/>
      </c>
      <c r="F30" s="13" t="str">
        <f t="shared" ref="F30" si="127">IF(E30="","",+$E30/9)</f>
        <v/>
      </c>
      <c r="G30" s="13" t="str">
        <f t="shared" ref="G30" si="128">IF(E30="","",($E30/60)/9)</f>
        <v/>
      </c>
      <c r="H30" s="13" t="e">
        <f t="shared" si="3"/>
        <v>#VALUE!</v>
      </c>
      <c r="I30" s="47"/>
      <c r="J30" s="16">
        <f t="shared" ref="J30" si="129">+WEEKNUM(I30)</f>
        <v>0</v>
      </c>
      <c r="K30" s="45" t="str">
        <f t="shared" si="5"/>
        <v>sábado</v>
      </c>
      <c r="L30" s="49"/>
      <c r="M30" s="50"/>
      <c r="N30" s="52">
        <f t="shared" si="6"/>
        <v>0</v>
      </c>
      <c r="O30" s="52">
        <f t="shared" si="7"/>
        <v>0</v>
      </c>
      <c r="P30" s="53">
        <f t="shared" si="8"/>
        <v>0</v>
      </c>
      <c r="Q30" s="54" t="str">
        <f t="shared" ref="Q30" si="130">IF(G30="","",+$G30*$P30)</f>
        <v/>
      </c>
      <c r="R30" s="59" t="str">
        <f t="shared" si="10"/>
        <v/>
      </c>
      <c r="S30" s="51"/>
    </row>
    <row r="31" spans="1:19" s="44" customFormat="1">
      <c r="A31" s="15"/>
      <c r="B31" s="56"/>
      <c r="C31" s="18" t="str">
        <f>IF(B31="","",VLOOKUP(B31,'Tabla de proceso'!$B$6:$G$25,2,))</f>
        <v/>
      </c>
      <c r="D31" s="17" t="str">
        <f>IF(B31="","",VLOOKUP(B31,'Tabla de proceso'!$B$5:$G$25,3,0))</f>
        <v/>
      </c>
      <c r="E31" s="13" t="str">
        <f t="shared" ref="E31" si="131">D31</f>
        <v/>
      </c>
      <c r="F31" s="13" t="str">
        <f t="shared" ref="F31" si="132">IF(E31="","",+$E31/9)</f>
        <v/>
      </c>
      <c r="G31" s="13" t="str">
        <f t="shared" ref="G31" si="133">IF(E31="","",($E31/60)/9)</f>
        <v/>
      </c>
      <c r="H31" s="13" t="e">
        <f t="shared" si="3"/>
        <v>#VALUE!</v>
      </c>
      <c r="I31" s="47"/>
      <c r="J31" s="16">
        <f t="shared" ref="J31" si="134">+WEEKNUM(I31)</f>
        <v>0</v>
      </c>
      <c r="K31" s="45" t="str">
        <f t="shared" si="5"/>
        <v>sábado</v>
      </c>
      <c r="L31" s="49"/>
      <c r="M31" s="50"/>
      <c r="N31" s="52">
        <f t="shared" si="6"/>
        <v>0</v>
      </c>
      <c r="O31" s="52">
        <f t="shared" si="7"/>
        <v>0</v>
      </c>
      <c r="P31" s="53">
        <f t="shared" si="8"/>
        <v>0</v>
      </c>
      <c r="Q31" s="54" t="str">
        <f t="shared" ref="Q31" si="135">IF(G31="","",+$G31*$P31)</f>
        <v/>
      </c>
      <c r="R31" s="59" t="str">
        <f t="shared" si="10"/>
        <v/>
      </c>
      <c r="S31" s="51"/>
    </row>
    <row r="32" spans="1:19" s="44" customFormat="1">
      <c r="A32" s="15"/>
      <c r="B32" s="56"/>
      <c r="C32" s="18" t="str">
        <f>IF(B32="","",VLOOKUP(B32,'Tabla de proceso'!$B$6:$G$25,2,))</f>
        <v/>
      </c>
      <c r="D32" s="17" t="str">
        <f>IF(B32="","",VLOOKUP(B32,'Tabla de proceso'!$B$5:$G$25,3,0))</f>
        <v/>
      </c>
      <c r="E32" s="13" t="str">
        <f t="shared" ref="E32" si="136">D32</f>
        <v/>
      </c>
      <c r="F32" s="13" t="str">
        <f t="shared" ref="F32" si="137">IF(E32="","",+$E32/9)</f>
        <v/>
      </c>
      <c r="G32" s="13" t="str">
        <f t="shared" ref="G32" si="138">IF(E32="","",($E32/60)/9)</f>
        <v/>
      </c>
      <c r="H32" s="13" t="e">
        <f t="shared" si="3"/>
        <v>#VALUE!</v>
      </c>
      <c r="I32" s="47"/>
      <c r="J32" s="16">
        <f t="shared" ref="J32" si="139">+WEEKNUM(I32)</f>
        <v>0</v>
      </c>
      <c r="K32" s="45" t="str">
        <f t="shared" si="5"/>
        <v>sábado</v>
      </c>
      <c r="L32" s="49"/>
      <c r="M32" s="50"/>
      <c r="N32" s="52">
        <f t="shared" si="6"/>
        <v>0</v>
      </c>
      <c r="O32" s="52">
        <f t="shared" si="7"/>
        <v>0</v>
      </c>
      <c r="P32" s="53">
        <f t="shared" si="8"/>
        <v>0</v>
      </c>
      <c r="Q32" s="54" t="str">
        <f t="shared" ref="Q32" si="140">IF(G32="","",+$G32*$P32)</f>
        <v/>
      </c>
      <c r="R32" s="59" t="str">
        <f t="shared" si="10"/>
        <v/>
      </c>
      <c r="S32" s="51"/>
    </row>
    <row r="33" spans="1:19" s="44" customFormat="1">
      <c r="A33" s="15"/>
      <c r="B33" s="56"/>
      <c r="C33" s="18" t="str">
        <f>IF(B33="","",VLOOKUP(B33,'Tabla de proceso'!$B$6:$G$25,2,))</f>
        <v/>
      </c>
      <c r="D33" s="17" t="str">
        <f>IF(B33="","",VLOOKUP(B33,'Tabla de proceso'!$B$5:$G$25,3,0))</f>
        <v/>
      </c>
      <c r="E33" s="13" t="str">
        <f t="shared" ref="E33" si="141">D33</f>
        <v/>
      </c>
      <c r="F33" s="13" t="str">
        <f t="shared" ref="F33" si="142">IF(E33="","",+$E33/9)</f>
        <v/>
      </c>
      <c r="G33" s="13" t="str">
        <f t="shared" ref="G33" si="143">IF(E33="","",($E33/60)/9)</f>
        <v/>
      </c>
      <c r="H33" s="13" t="e">
        <f t="shared" si="3"/>
        <v>#VALUE!</v>
      </c>
      <c r="I33" s="47"/>
      <c r="J33" s="16">
        <f t="shared" ref="J33" si="144">+WEEKNUM(I33)</f>
        <v>0</v>
      </c>
      <c r="K33" s="45" t="str">
        <f t="shared" si="5"/>
        <v>sábado</v>
      </c>
      <c r="L33" s="49"/>
      <c r="M33" s="50"/>
      <c r="N33" s="52">
        <f t="shared" si="6"/>
        <v>0</v>
      </c>
      <c r="O33" s="52">
        <f t="shared" si="7"/>
        <v>0</v>
      </c>
      <c r="P33" s="53">
        <f t="shared" si="8"/>
        <v>0</v>
      </c>
      <c r="Q33" s="54" t="str">
        <f t="shared" ref="Q33" si="145">IF(G33="","",+$G33*$P33)</f>
        <v/>
      </c>
      <c r="R33" s="59" t="str">
        <f t="shared" si="10"/>
        <v/>
      </c>
      <c r="S33" s="51"/>
    </row>
    <row r="34" spans="1:19" s="44" customFormat="1">
      <c r="A34" s="15"/>
      <c r="B34" s="56"/>
      <c r="C34" s="18" t="str">
        <f>IF(B34="","",VLOOKUP(B34,'Tabla de proceso'!$B$6:$G$25,2,))</f>
        <v/>
      </c>
      <c r="D34" s="17" t="str">
        <f>IF(B34="","",VLOOKUP(B34,'Tabla de proceso'!$B$5:$G$25,3,0))</f>
        <v/>
      </c>
      <c r="E34" s="13" t="str">
        <f t="shared" ref="E34" si="146">D34</f>
        <v/>
      </c>
      <c r="F34" s="13" t="str">
        <f t="shared" ref="F34" si="147">IF(E34="","",+$E34/9)</f>
        <v/>
      </c>
      <c r="G34" s="13" t="str">
        <f t="shared" ref="G34" si="148">IF(E34="","",($E34/60)/9)</f>
        <v/>
      </c>
      <c r="H34" s="13" t="e">
        <f t="shared" si="3"/>
        <v>#VALUE!</v>
      </c>
      <c r="I34" s="47"/>
      <c r="J34" s="16">
        <f t="shared" ref="J34" si="149">+WEEKNUM(I34)</f>
        <v>0</v>
      </c>
      <c r="K34" s="45" t="str">
        <f t="shared" si="5"/>
        <v>sábado</v>
      </c>
      <c r="L34" s="49"/>
      <c r="M34" s="50"/>
      <c r="N34" s="52">
        <f t="shared" si="6"/>
        <v>0</v>
      </c>
      <c r="O34" s="52">
        <f t="shared" si="7"/>
        <v>0</v>
      </c>
      <c r="P34" s="53">
        <f t="shared" si="8"/>
        <v>0</v>
      </c>
      <c r="Q34" s="54" t="str">
        <f t="shared" ref="Q34" si="150">IF(G34="","",+$G34*$P34)</f>
        <v/>
      </c>
      <c r="R34" s="59" t="str">
        <f t="shared" si="10"/>
        <v/>
      </c>
      <c r="S34" s="51"/>
    </row>
    <row r="35" spans="1:19" s="44" customFormat="1">
      <c r="A35" s="15"/>
      <c r="B35" s="56"/>
      <c r="C35" s="18" t="str">
        <f>IF(B35="","",VLOOKUP(B35,'Tabla de proceso'!$B$6:$G$25,2,))</f>
        <v/>
      </c>
      <c r="D35" s="17" t="str">
        <f>IF(B35="","",VLOOKUP(B35,'Tabla de proceso'!$B$5:$G$25,3,0))</f>
        <v/>
      </c>
      <c r="E35" s="13" t="str">
        <f t="shared" ref="E35" si="151">D35</f>
        <v/>
      </c>
      <c r="F35" s="13" t="str">
        <f t="shared" ref="F35" si="152">IF(E35="","",+$E35/9)</f>
        <v/>
      </c>
      <c r="G35" s="13" t="str">
        <f t="shared" ref="G35" si="153">IF(E35="","",($E35/60)/9)</f>
        <v/>
      </c>
      <c r="H35" s="13" t="e">
        <f t="shared" si="3"/>
        <v>#VALUE!</v>
      </c>
      <c r="I35" s="47"/>
      <c r="J35" s="16">
        <f t="shared" ref="J35" si="154">+WEEKNUM(I35)</f>
        <v>0</v>
      </c>
      <c r="K35" s="45" t="str">
        <f t="shared" si="5"/>
        <v>sábado</v>
      </c>
      <c r="L35" s="49"/>
      <c r="M35" s="50"/>
      <c r="N35" s="52">
        <f t="shared" si="6"/>
        <v>0</v>
      </c>
      <c r="O35" s="52">
        <f t="shared" si="7"/>
        <v>0</v>
      </c>
      <c r="P35" s="53">
        <f t="shared" si="8"/>
        <v>0</v>
      </c>
      <c r="Q35" s="54" t="str">
        <f t="shared" ref="Q35" si="155">IF(G35="","",+$G35*$P35)</f>
        <v/>
      </c>
      <c r="R35" s="59" t="str">
        <f t="shared" si="10"/>
        <v/>
      </c>
      <c r="S35" s="51"/>
    </row>
    <row r="36" spans="1:19" s="44" customFormat="1">
      <c r="A36" s="15"/>
      <c r="B36" s="56"/>
      <c r="C36" s="18" t="str">
        <f>IF(B36="","",VLOOKUP(B36,'Tabla de proceso'!$B$6:$G$25,2,))</f>
        <v/>
      </c>
      <c r="D36" s="17" t="str">
        <f>IF(B36="","",VLOOKUP(B36,'Tabla de proceso'!$B$5:$G$25,3,0))</f>
        <v/>
      </c>
      <c r="E36" s="13" t="str">
        <f t="shared" ref="E36" si="156">D36</f>
        <v/>
      </c>
      <c r="F36" s="13" t="str">
        <f t="shared" ref="F36" si="157">IF(E36="","",+$E36/9)</f>
        <v/>
      </c>
      <c r="G36" s="13" t="str">
        <f t="shared" ref="G36" si="158">IF(E36="","",($E36/60)/9)</f>
        <v/>
      </c>
      <c r="H36" s="13" t="e">
        <f t="shared" si="3"/>
        <v>#VALUE!</v>
      </c>
      <c r="I36" s="47"/>
      <c r="J36" s="16">
        <f t="shared" ref="J36" si="159">+WEEKNUM(I36)</f>
        <v>0</v>
      </c>
      <c r="K36" s="45" t="str">
        <f t="shared" si="5"/>
        <v>sábado</v>
      </c>
      <c r="L36" s="49"/>
      <c r="M36" s="50"/>
      <c r="N36" s="52">
        <f t="shared" si="6"/>
        <v>0</v>
      </c>
      <c r="O36" s="52">
        <f t="shared" si="7"/>
        <v>0</v>
      </c>
      <c r="P36" s="53">
        <f t="shared" si="8"/>
        <v>0</v>
      </c>
      <c r="Q36" s="54" t="str">
        <f t="shared" ref="Q36" si="160">IF(G36="","",+$G36*$P36)</f>
        <v/>
      </c>
      <c r="R36" s="59" t="str">
        <f t="shared" si="10"/>
        <v/>
      </c>
      <c r="S36" s="51"/>
    </row>
    <row r="37" spans="1:19" s="44" customFormat="1">
      <c r="A37" s="15"/>
      <c r="B37" s="56"/>
      <c r="C37" s="18" t="str">
        <f>IF(B37="","",VLOOKUP(B37,'Tabla de proceso'!$B$6:$G$25,2,))</f>
        <v/>
      </c>
      <c r="D37" s="17" t="str">
        <f>IF(B37="","",VLOOKUP(B37,'Tabla de proceso'!$B$5:$G$25,3,0))</f>
        <v/>
      </c>
      <c r="E37" s="13" t="str">
        <f t="shared" ref="E37" si="161">D37</f>
        <v/>
      </c>
      <c r="F37" s="13" t="str">
        <f t="shared" ref="F37" si="162">IF(E37="","",+$E37/9)</f>
        <v/>
      </c>
      <c r="G37" s="13" t="str">
        <f t="shared" ref="G37" si="163">IF(E37="","",($E37/60)/9)</f>
        <v/>
      </c>
      <c r="H37" s="13" t="e">
        <f t="shared" si="3"/>
        <v>#VALUE!</v>
      </c>
      <c r="I37" s="47"/>
      <c r="J37" s="16">
        <f t="shared" ref="J37" si="164">+WEEKNUM(I37)</f>
        <v>0</v>
      </c>
      <c r="K37" s="45" t="str">
        <f t="shared" si="5"/>
        <v>sábado</v>
      </c>
      <c r="L37" s="49"/>
      <c r="M37" s="50"/>
      <c r="N37" s="52">
        <f t="shared" si="6"/>
        <v>0</v>
      </c>
      <c r="O37" s="52">
        <f t="shared" si="7"/>
        <v>0</v>
      </c>
      <c r="P37" s="53">
        <f t="shared" si="8"/>
        <v>0</v>
      </c>
      <c r="Q37" s="54" t="str">
        <f t="shared" ref="Q37" si="165">IF(G37="","",+$G37*$P37)</f>
        <v/>
      </c>
      <c r="R37" s="59" t="str">
        <f t="shared" si="10"/>
        <v/>
      </c>
      <c r="S37" s="51"/>
    </row>
    <row r="38" spans="1:19" s="44" customFormat="1">
      <c r="A38" s="15"/>
      <c r="B38" s="56"/>
      <c r="C38" s="18" t="str">
        <f>IF(B38="","",VLOOKUP(B38,'Tabla de proceso'!$B$6:$G$25,2,))</f>
        <v/>
      </c>
      <c r="D38" s="17" t="str">
        <f>IF(B38="","",VLOOKUP(B38,'Tabla de proceso'!$B$5:$G$25,3,0))</f>
        <v/>
      </c>
      <c r="E38" s="13" t="str">
        <f t="shared" ref="E38" si="166">D38</f>
        <v/>
      </c>
      <c r="F38" s="13" t="str">
        <f t="shared" ref="F38" si="167">IF(E38="","",+$E38/9)</f>
        <v/>
      </c>
      <c r="G38" s="13" t="str">
        <f t="shared" ref="G38" si="168">IF(E38="","",($E38/60)/9)</f>
        <v/>
      </c>
      <c r="H38" s="13" t="e">
        <f t="shared" si="3"/>
        <v>#VALUE!</v>
      </c>
      <c r="I38" s="47"/>
      <c r="J38" s="16">
        <f t="shared" ref="J38" si="169">+WEEKNUM(I38)</f>
        <v>0</v>
      </c>
      <c r="K38" s="45" t="str">
        <f t="shared" si="5"/>
        <v>sábado</v>
      </c>
      <c r="L38" s="49"/>
      <c r="M38" s="50"/>
      <c r="N38" s="52">
        <f t="shared" si="6"/>
        <v>0</v>
      </c>
      <c r="O38" s="52">
        <f t="shared" si="7"/>
        <v>0</v>
      </c>
      <c r="P38" s="53">
        <f t="shared" si="8"/>
        <v>0</v>
      </c>
      <c r="Q38" s="54" t="str">
        <f t="shared" ref="Q38" si="170">IF(G38="","",+$G38*$P38)</f>
        <v/>
      </c>
      <c r="R38" s="59" t="str">
        <f t="shared" si="10"/>
        <v/>
      </c>
      <c r="S38" s="51"/>
    </row>
    <row r="39" spans="1:19" s="44" customFormat="1">
      <c r="A39" s="15"/>
      <c r="B39" s="56"/>
      <c r="C39" s="18" t="str">
        <f>IF(B39="","",VLOOKUP(B39,'Tabla de proceso'!$B$6:$G$25,2,))</f>
        <v/>
      </c>
      <c r="D39" s="17" t="str">
        <f>IF(B39="","",VLOOKUP(B39,'Tabla de proceso'!$B$5:$G$25,3,0))</f>
        <v/>
      </c>
      <c r="E39" s="13" t="str">
        <f t="shared" ref="E39" si="171">D39</f>
        <v/>
      </c>
      <c r="F39" s="13" t="str">
        <f t="shared" ref="F39" si="172">IF(E39="","",+$E39/9)</f>
        <v/>
      </c>
      <c r="G39" s="13" t="str">
        <f t="shared" ref="G39" si="173">IF(E39="","",($E39/60)/9)</f>
        <v/>
      </c>
      <c r="H39" s="13" t="e">
        <f t="shared" si="3"/>
        <v>#VALUE!</v>
      </c>
      <c r="I39" s="47"/>
      <c r="J39" s="16">
        <f t="shared" ref="J39" si="174">+WEEKNUM(I39)</f>
        <v>0</v>
      </c>
      <c r="K39" s="45" t="str">
        <f t="shared" si="5"/>
        <v>sábado</v>
      </c>
      <c r="L39" s="49"/>
      <c r="M39" s="50"/>
      <c r="N39" s="52">
        <f t="shared" si="6"/>
        <v>0</v>
      </c>
      <c r="O39" s="52">
        <f t="shared" si="7"/>
        <v>0</v>
      </c>
      <c r="P39" s="53">
        <f t="shared" si="8"/>
        <v>0</v>
      </c>
      <c r="Q39" s="54" t="str">
        <f t="shared" ref="Q39" si="175">IF(G39="","",+$G39*$P39)</f>
        <v/>
      </c>
      <c r="R39" s="59" t="str">
        <f t="shared" si="10"/>
        <v/>
      </c>
      <c r="S39" s="51"/>
    </row>
    <row r="40" spans="1:19" s="44" customFormat="1">
      <c r="A40" s="15"/>
      <c r="B40" s="56"/>
      <c r="C40" s="18" t="str">
        <f>IF(B40="","",VLOOKUP(B40,'Tabla de proceso'!$B$6:$G$25,2,))</f>
        <v/>
      </c>
      <c r="D40" s="17" t="str">
        <f>IF(B40="","",VLOOKUP(B40,'Tabla de proceso'!$B$5:$G$25,3,0))</f>
        <v/>
      </c>
      <c r="E40" s="13" t="str">
        <f t="shared" ref="E40" si="176">D40</f>
        <v/>
      </c>
      <c r="F40" s="13" t="str">
        <f t="shared" ref="F40" si="177">IF(E40="","",+$E40/9)</f>
        <v/>
      </c>
      <c r="G40" s="13" t="str">
        <f t="shared" ref="G40" si="178">IF(E40="","",($E40/60)/9)</f>
        <v/>
      </c>
      <c r="H40" s="13" t="e">
        <f t="shared" si="3"/>
        <v>#VALUE!</v>
      </c>
      <c r="I40" s="47"/>
      <c r="J40" s="16">
        <f t="shared" ref="J40" si="179">+WEEKNUM(I40)</f>
        <v>0</v>
      </c>
      <c r="K40" s="45" t="str">
        <f t="shared" si="5"/>
        <v>sábado</v>
      </c>
      <c r="L40" s="49"/>
      <c r="M40" s="50"/>
      <c r="N40" s="52">
        <f t="shared" si="6"/>
        <v>0</v>
      </c>
      <c r="O40" s="52">
        <f t="shared" si="7"/>
        <v>0</v>
      </c>
      <c r="P40" s="53">
        <f t="shared" si="8"/>
        <v>0</v>
      </c>
      <c r="Q40" s="54" t="str">
        <f t="shared" ref="Q40" si="180">IF(G40="","",+$G40*$P40)</f>
        <v/>
      </c>
      <c r="R40" s="59" t="str">
        <f t="shared" si="10"/>
        <v/>
      </c>
      <c r="S40" s="51"/>
    </row>
    <row r="41" spans="1:19" s="44" customFormat="1">
      <c r="A41" s="15"/>
      <c r="B41" s="56"/>
      <c r="C41" s="18" t="str">
        <f>IF(B41="","",VLOOKUP(B41,'Tabla de proceso'!$B$6:$G$25,2,))</f>
        <v/>
      </c>
      <c r="D41" s="17" t="str">
        <f>IF(B41="","",VLOOKUP(B41,'Tabla de proceso'!$B$5:$G$25,3,0))</f>
        <v/>
      </c>
      <c r="E41" s="13" t="str">
        <f t="shared" ref="E41" si="181">D41</f>
        <v/>
      </c>
      <c r="F41" s="13" t="str">
        <f t="shared" ref="F41" si="182">IF(E41="","",+$E41/9)</f>
        <v/>
      </c>
      <c r="G41" s="13" t="str">
        <f t="shared" ref="G41" si="183">IF(E41="","",($E41/60)/9)</f>
        <v/>
      </c>
      <c r="H41" s="13" t="e">
        <f t="shared" si="3"/>
        <v>#VALUE!</v>
      </c>
      <c r="I41" s="47"/>
      <c r="J41" s="16">
        <f t="shared" ref="J41" si="184">+WEEKNUM(I41)</f>
        <v>0</v>
      </c>
      <c r="K41" s="45" t="str">
        <f t="shared" si="5"/>
        <v>sábado</v>
      </c>
      <c r="L41" s="49"/>
      <c r="M41" s="50"/>
      <c r="N41" s="52">
        <f t="shared" si="6"/>
        <v>0</v>
      </c>
      <c r="O41" s="52">
        <f t="shared" si="7"/>
        <v>0</v>
      </c>
      <c r="P41" s="53">
        <f t="shared" si="8"/>
        <v>0</v>
      </c>
      <c r="Q41" s="54" t="str">
        <f t="shared" ref="Q41" si="185">IF(G41="","",+$G41*$P41)</f>
        <v/>
      </c>
      <c r="R41" s="59" t="str">
        <f t="shared" si="10"/>
        <v/>
      </c>
      <c r="S41" s="51"/>
    </row>
    <row r="42" spans="1:19" s="44" customFormat="1">
      <c r="A42" s="15"/>
      <c r="B42" s="56"/>
      <c r="C42" s="18" t="str">
        <f>IF(B42="","",VLOOKUP(B42,'Tabla de proceso'!$B$6:$G$25,2,))</f>
        <v/>
      </c>
      <c r="D42" s="17" t="str">
        <f>IF(B42="","",VLOOKUP(B42,'Tabla de proceso'!$B$5:$G$25,3,0))</f>
        <v/>
      </c>
      <c r="E42" s="13" t="str">
        <f t="shared" ref="E42" si="186">D42</f>
        <v/>
      </c>
      <c r="F42" s="13" t="str">
        <f t="shared" ref="F42" si="187">IF(E42="","",+$E42/9)</f>
        <v/>
      </c>
      <c r="G42" s="13" t="str">
        <f t="shared" ref="G42" si="188">IF(E42="","",($E42/60)/9)</f>
        <v/>
      </c>
      <c r="H42" s="13" t="e">
        <f t="shared" si="3"/>
        <v>#VALUE!</v>
      </c>
      <c r="I42" s="47"/>
      <c r="J42" s="16">
        <f t="shared" ref="J42" si="189">+WEEKNUM(I42)</f>
        <v>0</v>
      </c>
      <c r="K42" s="45" t="str">
        <f t="shared" si="5"/>
        <v>sábado</v>
      </c>
      <c r="L42" s="49"/>
      <c r="M42" s="50"/>
      <c r="N42" s="52">
        <f t="shared" si="6"/>
        <v>0</v>
      </c>
      <c r="O42" s="52">
        <f t="shared" si="7"/>
        <v>0</v>
      </c>
      <c r="P42" s="53">
        <f t="shared" si="8"/>
        <v>0</v>
      </c>
      <c r="Q42" s="54" t="str">
        <f t="shared" ref="Q42" si="190">IF(G42="","",+$G42*$P42)</f>
        <v/>
      </c>
      <c r="R42" s="59" t="str">
        <f t="shared" si="10"/>
        <v/>
      </c>
      <c r="S42" s="51"/>
    </row>
    <row r="43" spans="1:19" s="44" customFormat="1">
      <c r="A43" s="15"/>
      <c r="B43" s="56"/>
      <c r="C43" s="18" t="str">
        <f>IF(B43="","",VLOOKUP(B43,'Tabla de proceso'!$B$6:$G$25,2,))</f>
        <v/>
      </c>
      <c r="D43" s="17" t="str">
        <f>IF(B43="","",VLOOKUP(B43,'Tabla de proceso'!$B$5:$G$25,3,0))</f>
        <v/>
      </c>
      <c r="E43" s="13" t="str">
        <f t="shared" ref="E43" si="191">D43</f>
        <v/>
      </c>
      <c r="F43" s="13" t="str">
        <f t="shared" ref="F43" si="192">IF(E43="","",+$E43/9)</f>
        <v/>
      </c>
      <c r="G43" s="13" t="str">
        <f t="shared" ref="G43" si="193">IF(E43="","",($E43/60)/9)</f>
        <v/>
      </c>
      <c r="H43" s="13" t="e">
        <f t="shared" si="3"/>
        <v>#VALUE!</v>
      </c>
      <c r="I43" s="47"/>
      <c r="J43" s="16">
        <f t="shared" ref="J43" si="194">+WEEKNUM(I43)</f>
        <v>0</v>
      </c>
      <c r="K43" s="45" t="str">
        <f t="shared" si="5"/>
        <v>sábado</v>
      </c>
      <c r="L43" s="49"/>
      <c r="M43" s="50"/>
      <c r="N43" s="52">
        <f t="shared" si="6"/>
        <v>0</v>
      </c>
      <c r="O43" s="52">
        <f t="shared" si="7"/>
        <v>0</v>
      </c>
      <c r="P43" s="53">
        <f t="shared" si="8"/>
        <v>0</v>
      </c>
      <c r="Q43" s="54" t="str">
        <f t="shared" ref="Q43" si="195">IF(G43="","",+$G43*$P43)</f>
        <v/>
      </c>
      <c r="R43" s="59" t="str">
        <f t="shared" si="10"/>
        <v/>
      </c>
      <c r="S43" s="51"/>
    </row>
    <row r="44" spans="1:19" s="44" customFormat="1">
      <c r="A44" s="15"/>
      <c r="B44" s="56"/>
      <c r="C44" s="18" t="str">
        <f>IF(B44="","",VLOOKUP(B44,'Tabla de proceso'!$B$6:$G$25,2,))</f>
        <v/>
      </c>
      <c r="D44" s="17" t="str">
        <f>IF(B44="","",VLOOKUP(B44,'Tabla de proceso'!$B$5:$G$25,3,0))</f>
        <v/>
      </c>
      <c r="E44" s="13" t="str">
        <f t="shared" ref="E44" si="196">D44</f>
        <v/>
      </c>
      <c r="F44" s="13" t="str">
        <f t="shared" ref="F44" si="197">IF(E44="","",+$E44/9)</f>
        <v/>
      </c>
      <c r="G44" s="13" t="str">
        <f t="shared" ref="G44" si="198">IF(E44="","",($E44/60)/9)</f>
        <v/>
      </c>
      <c r="H44" s="13" t="e">
        <f t="shared" si="3"/>
        <v>#VALUE!</v>
      </c>
      <c r="I44" s="47"/>
      <c r="J44" s="16">
        <f t="shared" ref="J44" si="199">+WEEKNUM(I44)</f>
        <v>0</v>
      </c>
      <c r="K44" s="45" t="str">
        <f t="shared" si="5"/>
        <v>sábado</v>
      </c>
      <c r="L44" s="49"/>
      <c r="M44" s="50"/>
      <c r="N44" s="52">
        <f t="shared" si="6"/>
        <v>0</v>
      </c>
      <c r="O44" s="52">
        <f t="shared" si="7"/>
        <v>0</v>
      </c>
      <c r="P44" s="53">
        <f t="shared" si="8"/>
        <v>0</v>
      </c>
      <c r="Q44" s="54" t="str">
        <f t="shared" ref="Q44" si="200">IF(G44="","",+$G44*$P44)</f>
        <v/>
      </c>
      <c r="R44" s="59" t="str">
        <f t="shared" si="10"/>
        <v/>
      </c>
      <c r="S44" s="51"/>
    </row>
    <row r="45" spans="1:19" s="44" customFormat="1">
      <c r="A45" s="15"/>
      <c r="B45" s="56"/>
      <c r="C45" s="18" t="str">
        <f>IF(B45="","",VLOOKUP(B45,'Tabla de proceso'!$B$6:$G$25,2,))</f>
        <v/>
      </c>
      <c r="D45" s="17" t="str">
        <f>IF(B45="","",VLOOKUP(B45,'Tabla de proceso'!$B$5:$G$25,3,0))</f>
        <v/>
      </c>
      <c r="E45" s="13" t="str">
        <f t="shared" ref="E45" si="201">D45</f>
        <v/>
      </c>
      <c r="F45" s="13" t="str">
        <f t="shared" ref="F45" si="202">IF(E45="","",+$E45/9)</f>
        <v/>
      </c>
      <c r="G45" s="13" t="str">
        <f t="shared" ref="G45" si="203">IF(E45="","",($E45/60)/9)</f>
        <v/>
      </c>
      <c r="H45" s="13" t="e">
        <f t="shared" si="3"/>
        <v>#VALUE!</v>
      </c>
      <c r="I45" s="47"/>
      <c r="J45" s="16">
        <f t="shared" ref="J45" si="204">+WEEKNUM(I45)</f>
        <v>0</v>
      </c>
      <c r="K45" s="45" t="str">
        <f t="shared" si="5"/>
        <v>sábado</v>
      </c>
      <c r="L45" s="49"/>
      <c r="M45" s="50"/>
      <c r="N45" s="52">
        <f t="shared" si="6"/>
        <v>0</v>
      </c>
      <c r="O45" s="52">
        <f t="shared" si="7"/>
        <v>0</v>
      </c>
      <c r="P45" s="53">
        <f t="shared" si="8"/>
        <v>0</v>
      </c>
      <c r="Q45" s="54" t="str">
        <f t="shared" ref="Q45" si="205">IF(G45="","",+$G45*$P45)</f>
        <v/>
      </c>
      <c r="R45" s="59" t="str">
        <f t="shared" si="10"/>
        <v/>
      </c>
      <c r="S45" s="51"/>
    </row>
    <row r="46" spans="1:19" s="44" customFormat="1">
      <c r="A46" s="15"/>
      <c r="B46" s="56"/>
      <c r="C46" s="18" t="str">
        <f>IF(B46="","",VLOOKUP(B46,'Tabla de proceso'!$B$6:$G$25,2,))</f>
        <v/>
      </c>
      <c r="D46" s="17" t="str">
        <f>IF(B46="","",VLOOKUP(B46,'Tabla de proceso'!$B$5:$G$25,3,0))</f>
        <v/>
      </c>
      <c r="E46" s="13" t="str">
        <f t="shared" ref="E46" si="206">D46</f>
        <v/>
      </c>
      <c r="F46" s="13" t="str">
        <f t="shared" ref="F46" si="207">IF(E46="","",+$E46/9)</f>
        <v/>
      </c>
      <c r="G46" s="13" t="str">
        <f t="shared" ref="G46" si="208">IF(E46="","",($E46/60)/9)</f>
        <v/>
      </c>
      <c r="H46" s="13" t="e">
        <f t="shared" si="3"/>
        <v>#VALUE!</v>
      </c>
      <c r="I46" s="47"/>
      <c r="J46" s="16">
        <f t="shared" ref="J46" si="209">+WEEKNUM(I46)</f>
        <v>0</v>
      </c>
      <c r="K46" s="45" t="str">
        <f t="shared" si="5"/>
        <v>sábado</v>
      </c>
      <c r="L46" s="49"/>
      <c r="M46" s="50"/>
      <c r="N46" s="52">
        <f t="shared" si="6"/>
        <v>0</v>
      </c>
      <c r="O46" s="52">
        <f t="shared" si="7"/>
        <v>0</v>
      </c>
      <c r="P46" s="53">
        <f t="shared" si="8"/>
        <v>0</v>
      </c>
      <c r="Q46" s="54" t="str">
        <f t="shared" ref="Q46" si="210">IF(G46="","",+$G46*$P46)</f>
        <v/>
      </c>
      <c r="R46" s="59" t="str">
        <f t="shared" si="10"/>
        <v/>
      </c>
      <c r="S46" s="51"/>
    </row>
    <row r="47" spans="1:19" s="44" customFormat="1">
      <c r="A47" s="15"/>
      <c r="B47" s="56"/>
      <c r="C47" s="18" t="str">
        <f>IF(B47="","",VLOOKUP(B47,'Tabla de proceso'!$B$6:$G$25,2,))</f>
        <v/>
      </c>
      <c r="D47" s="17" t="str">
        <f>IF(B47="","",VLOOKUP(B47,'Tabla de proceso'!$B$5:$G$25,3,0))</f>
        <v/>
      </c>
      <c r="E47" s="13" t="str">
        <f t="shared" ref="E47" si="211">D47</f>
        <v/>
      </c>
      <c r="F47" s="13" t="str">
        <f t="shared" ref="F47" si="212">IF(E47="","",+$E47/9)</f>
        <v/>
      </c>
      <c r="G47" s="13" t="str">
        <f t="shared" ref="G47" si="213">IF(E47="","",($E47/60)/9)</f>
        <v/>
      </c>
      <c r="H47" s="13" t="e">
        <f t="shared" si="3"/>
        <v>#VALUE!</v>
      </c>
      <c r="I47" s="47"/>
      <c r="J47" s="16">
        <f t="shared" ref="J47" si="214">+WEEKNUM(I47)</f>
        <v>0</v>
      </c>
      <c r="K47" s="45" t="str">
        <f t="shared" si="5"/>
        <v>sábado</v>
      </c>
      <c r="L47" s="49"/>
      <c r="M47" s="50"/>
      <c r="N47" s="52">
        <f t="shared" si="6"/>
        <v>0</v>
      </c>
      <c r="O47" s="52">
        <f t="shared" si="7"/>
        <v>0</v>
      </c>
      <c r="P47" s="53">
        <f t="shared" si="8"/>
        <v>0</v>
      </c>
      <c r="Q47" s="54" t="str">
        <f t="shared" ref="Q47" si="215">IF(G47="","",+$G47*$P47)</f>
        <v/>
      </c>
      <c r="R47" s="59" t="str">
        <f t="shared" si="10"/>
        <v/>
      </c>
      <c r="S47" s="51"/>
    </row>
    <row r="48" spans="1:19" s="44" customFormat="1">
      <c r="A48" s="15"/>
      <c r="B48" s="56"/>
      <c r="C48" s="18" t="str">
        <f>IF(B48="","",VLOOKUP(B48,'Tabla de proceso'!$B$6:$G$25,2,))</f>
        <v/>
      </c>
      <c r="D48" s="17" t="str">
        <f>IF(B48="","",VLOOKUP(B48,'Tabla de proceso'!$B$5:$G$25,3,0))</f>
        <v/>
      </c>
      <c r="E48" s="13" t="str">
        <f t="shared" ref="E48" si="216">D48</f>
        <v/>
      </c>
      <c r="F48" s="13" t="str">
        <f t="shared" ref="F48" si="217">IF(E48="","",+$E48/9)</f>
        <v/>
      </c>
      <c r="G48" s="13" t="str">
        <f t="shared" ref="G48" si="218">IF(E48="","",($E48/60)/9)</f>
        <v/>
      </c>
      <c r="H48" s="13" t="e">
        <f t="shared" si="3"/>
        <v>#VALUE!</v>
      </c>
      <c r="I48" s="47"/>
      <c r="J48" s="16">
        <f t="shared" ref="J48" si="219">+WEEKNUM(I48)</f>
        <v>0</v>
      </c>
      <c r="K48" s="45" t="str">
        <f t="shared" si="5"/>
        <v>sábado</v>
      </c>
      <c r="L48" s="49"/>
      <c r="M48" s="50"/>
      <c r="N48" s="52">
        <f t="shared" si="6"/>
        <v>0</v>
      </c>
      <c r="O48" s="52">
        <f t="shared" si="7"/>
        <v>0</v>
      </c>
      <c r="P48" s="53">
        <f t="shared" si="8"/>
        <v>0</v>
      </c>
      <c r="Q48" s="54" t="str">
        <f t="shared" ref="Q48" si="220">IF(G48="","",+$G48*$P48)</f>
        <v/>
      </c>
      <c r="R48" s="59" t="str">
        <f t="shared" si="10"/>
        <v/>
      </c>
      <c r="S48" s="51"/>
    </row>
    <row r="49" spans="1:19" s="44" customFormat="1">
      <c r="A49" s="15"/>
      <c r="B49" s="56"/>
      <c r="C49" s="18" t="str">
        <f>IF(B49="","",VLOOKUP(B49,'Tabla de proceso'!$B$6:$G$25,2,))</f>
        <v/>
      </c>
      <c r="D49" s="17" t="str">
        <f>IF(B49="","",VLOOKUP(B49,'Tabla de proceso'!$B$5:$G$25,3,0))</f>
        <v/>
      </c>
      <c r="E49" s="13" t="str">
        <f t="shared" ref="E49" si="221">D49</f>
        <v/>
      </c>
      <c r="F49" s="13" t="str">
        <f t="shared" ref="F49" si="222">IF(E49="","",+$E49/9)</f>
        <v/>
      </c>
      <c r="G49" s="13" t="str">
        <f t="shared" ref="G49" si="223">IF(E49="","",($E49/60)/9)</f>
        <v/>
      </c>
      <c r="H49" s="13" t="e">
        <f t="shared" si="3"/>
        <v>#VALUE!</v>
      </c>
      <c r="I49" s="47"/>
      <c r="J49" s="16">
        <f t="shared" ref="J49" si="224">+WEEKNUM(I49)</f>
        <v>0</v>
      </c>
      <c r="K49" s="45" t="str">
        <f t="shared" si="5"/>
        <v>sábado</v>
      </c>
      <c r="L49" s="49"/>
      <c r="M49" s="50"/>
      <c r="N49" s="52">
        <f t="shared" si="6"/>
        <v>0</v>
      </c>
      <c r="O49" s="52">
        <f t="shared" si="7"/>
        <v>0</v>
      </c>
      <c r="P49" s="53">
        <f t="shared" si="8"/>
        <v>0</v>
      </c>
      <c r="Q49" s="54" t="str">
        <f t="shared" ref="Q49" si="225">IF(G49="","",+$G49*$P49)</f>
        <v/>
      </c>
      <c r="R49" s="59" t="str">
        <f t="shared" si="10"/>
        <v/>
      </c>
      <c r="S49" s="51"/>
    </row>
    <row r="50" spans="1:19" s="44" customFormat="1">
      <c r="A50" s="15"/>
      <c r="B50" s="56"/>
      <c r="C50" s="18" t="str">
        <f>IF(B50="","",VLOOKUP(B50,'Tabla de proceso'!$B$6:$G$25,2,))</f>
        <v/>
      </c>
      <c r="D50" s="17" t="str">
        <f>IF(B50="","",VLOOKUP(B50,'Tabla de proceso'!$B$5:$G$25,3,0))</f>
        <v/>
      </c>
      <c r="E50" s="13" t="str">
        <f t="shared" ref="E50" si="226">D50</f>
        <v/>
      </c>
      <c r="F50" s="13" t="str">
        <f t="shared" ref="F50" si="227">IF(E50="","",+$E50/9)</f>
        <v/>
      </c>
      <c r="G50" s="13" t="str">
        <f t="shared" ref="G50" si="228">IF(E50="","",($E50/60)/9)</f>
        <v/>
      </c>
      <c r="H50" s="13" t="e">
        <f t="shared" si="3"/>
        <v>#VALUE!</v>
      </c>
      <c r="I50" s="47"/>
      <c r="J50" s="16">
        <f t="shared" ref="J50" si="229">+WEEKNUM(I50)</f>
        <v>0</v>
      </c>
      <c r="K50" s="45" t="str">
        <f t="shared" si="5"/>
        <v>sábado</v>
      </c>
      <c r="L50" s="49"/>
      <c r="M50" s="50"/>
      <c r="N50" s="52">
        <f t="shared" si="6"/>
        <v>0</v>
      </c>
      <c r="O50" s="52">
        <f t="shared" si="7"/>
        <v>0</v>
      </c>
      <c r="P50" s="53">
        <f t="shared" si="8"/>
        <v>0</v>
      </c>
      <c r="Q50" s="54" t="str">
        <f t="shared" ref="Q50" si="230">IF(G50="","",+$G50*$P50)</f>
        <v/>
      </c>
      <c r="R50" s="59" t="str">
        <f t="shared" si="10"/>
        <v/>
      </c>
      <c r="S50" s="51"/>
    </row>
    <row r="51" spans="1:19" s="44" customFormat="1">
      <c r="A51" s="15"/>
      <c r="B51" s="56"/>
      <c r="C51" s="18" t="str">
        <f>IF(B51="","",VLOOKUP(B51,'Tabla de proceso'!$B$6:$G$25,2,))</f>
        <v/>
      </c>
      <c r="D51" s="17" t="str">
        <f>IF(B51="","",VLOOKUP(B51,'Tabla de proceso'!$B$5:$G$25,3,0))</f>
        <v/>
      </c>
      <c r="E51" s="13" t="str">
        <f t="shared" ref="E51" si="231">D51</f>
        <v/>
      </c>
      <c r="F51" s="13" t="str">
        <f t="shared" ref="F51" si="232">IF(E51="","",+$E51/9)</f>
        <v/>
      </c>
      <c r="G51" s="13" t="str">
        <f t="shared" ref="G51" si="233">IF(E51="","",($E51/60)/9)</f>
        <v/>
      </c>
      <c r="H51" s="13" t="e">
        <f t="shared" si="3"/>
        <v>#VALUE!</v>
      </c>
      <c r="I51" s="47"/>
      <c r="J51" s="16">
        <f t="shared" ref="J51" si="234">+WEEKNUM(I51)</f>
        <v>0</v>
      </c>
      <c r="K51" s="45" t="str">
        <f t="shared" si="5"/>
        <v>sábado</v>
      </c>
      <c r="L51" s="49"/>
      <c r="M51" s="50"/>
      <c r="N51" s="52">
        <f t="shared" si="6"/>
        <v>0</v>
      </c>
      <c r="O51" s="52">
        <f t="shared" si="7"/>
        <v>0</v>
      </c>
      <c r="P51" s="53">
        <f t="shared" si="8"/>
        <v>0</v>
      </c>
      <c r="Q51" s="54" t="str">
        <f t="shared" ref="Q51" si="235">IF(G51="","",+$G51*$P51)</f>
        <v/>
      </c>
      <c r="R51" s="59" t="str">
        <f t="shared" si="10"/>
        <v/>
      </c>
      <c r="S51" s="51"/>
    </row>
    <row r="52" spans="1:19" s="44" customFormat="1">
      <c r="A52" s="15"/>
      <c r="B52" s="56"/>
      <c r="C52" s="18" t="str">
        <f>IF(B52="","",VLOOKUP(B52,'Tabla de proceso'!$B$6:$G$25,2,))</f>
        <v/>
      </c>
      <c r="D52" s="17" t="str">
        <f>IF(B52="","",VLOOKUP(B52,'Tabla de proceso'!$B$5:$G$25,3,0))</f>
        <v/>
      </c>
      <c r="E52" s="13" t="str">
        <f t="shared" ref="E52" si="236">D52</f>
        <v/>
      </c>
      <c r="F52" s="13" t="str">
        <f t="shared" ref="F52" si="237">IF(E52="","",+$E52/9)</f>
        <v/>
      </c>
      <c r="G52" s="13" t="str">
        <f t="shared" ref="G52" si="238">IF(E52="","",($E52/60)/9)</f>
        <v/>
      </c>
      <c r="H52" s="13" t="e">
        <f t="shared" si="3"/>
        <v>#VALUE!</v>
      </c>
      <c r="I52" s="47"/>
      <c r="J52" s="16">
        <f t="shared" ref="J52" si="239">+WEEKNUM(I52)</f>
        <v>0</v>
      </c>
      <c r="K52" s="45" t="str">
        <f t="shared" si="5"/>
        <v>sábado</v>
      </c>
      <c r="L52" s="49"/>
      <c r="M52" s="50"/>
      <c r="N52" s="52">
        <f t="shared" si="6"/>
        <v>0</v>
      </c>
      <c r="O52" s="52">
        <f t="shared" si="7"/>
        <v>0</v>
      </c>
      <c r="P52" s="53">
        <f t="shared" si="8"/>
        <v>0</v>
      </c>
      <c r="Q52" s="54" t="str">
        <f t="shared" ref="Q52" si="240">IF(G52="","",+$G52*$P52)</f>
        <v/>
      </c>
      <c r="R52" s="59" t="str">
        <f t="shared" si="10"/>
        <v/>
      </c>
      <c r="S52" s="51"/>
    </row>
    <row r="53" spans="1:19" s="44" customFormat="1">
      <c r="A53" s="15"/>
      <c r="B53" s="56"/>
      <c r="C53" s="18" t="str">
        <f>IF(B53="","",VLOOKUP(B53,'Tabla de proceso'!$B$6:$G$25,2,))</f>
        <v/>
      </c>
      <c r="D53" s="17" t="str">
        <f>IF(B53="","",VLOOKUP(B53,'Tabla de proceso'!$B$5:$G$25,3,0))</f>
        <v/>
      </c>
      <c r="E53" s="13" t="str">
        <f t="shared" ref="E53" si="241">D53</f>
        <v/>
      </c>
      <c r="F53" s="13" t="str">
        <f t="shared" ref="F53" si="242">IF(E53="","",+$E53/9)</f>
        <v/>
      </c>
      <c r="G53" s="13" t="str">
        <f t="shared" ref="G53" si="243">IF(E53="","",($E53/60)/9)</f>
        <v/>
      </c>
      <c r="H53" s="13" t="e">
        <f t="shared" si="3"/>
        <v>#VALUE!</v>
      </c>
      <c r="I53" s="47"/>
      <c r="J53" s="16">
        <f t="shared" ref="J53" si="244">+WEEKNUM(I53)</f>
        <v>0</v>
      </c>
      <c r="K53" s="45" t="str">
        <f t="shared" si="5"/>
        <v>sábado</v>
      </c>
      <c r="L53" s="49"/>
      <c r="M53" s="50"/>
      <c r="N53" s="52">
        <f t="shared" si="6"/>
        <v>0</v>
      </c>
      <c r="O53" s="52">
        <f t="shared" si="7"/>
        <v>0</v>
      </c>
      <c r="P53" s="53">
        <f t="shared" si="8"/>
        <v>0</v>
      </c>
      <c r="Q53" s="54" t="str">
        <f t="shared" ref="Q53" si="245">IF(G53="","",+$G53*$P53)</f>
        <v/>
      </c>
      <c r="R53" s="59" t="str">
        <f t="shared" si="10"/>
        <v/>
      </c>
      <c r="S53" s="51"/>
    </row>
    <row r="54" spans="1:19" s="44" customFormat="1">
      <c r="A54" s="15"/>
      <c r="B54" s="56"/>
      <c r="C54" s="18" t="str">
        <f>IF(B54="","",VLOOKUP(B54,'Tabla de proceso'!$B$6:$G$25,2,))</f>
        <v/>
      </c>
      <c r="D54" s="17" t="str">
        <f>IF(B54="","",VLOOKUP(B54,'Tabla de proceso'!$B$5:$G$25,3,0))</f>
        <v/>
      </c>
      <c r="E54" s="13" t="str">
        <f t="shared" ref="E54" si="246">D54</f>
        <v/>
      </c>
      <c r="F54" s="13" t="str">
        <f t="shared" ref="F54" si="247">IF(E54="","",+$E54/9)</f>
        <v/>
      </c>
      <c r="G54" s="13" t="str">
        <f t="shared" ref="G54" si="248">IF(E54="","",($E54/60)/9)</f>
        <v/>
      </c>
      <c r="H54" s="13" t="e">
        <f t="shared" si="3"/>
        <v>#VALUE!</v>
      </c>
      <c r="I54" s="47"/>
      <c r="J54" s="16">
        <f t="shared" ref="J54" si="249">+WEEKNUM(I54)</f>
        <v>0</v>
      </c>
      <c r="K54" s="45" t="str">
        <f t="shared" si="5"/>
        <v>sábado</v>
      </c>
      <c r="L54" s="49"/>
      <c r="M54" s="50"/>
      <c r="N54" s="52">
        <f t="shared" si="6"/>
        <v>0</v>
      </c>
      <c r="O54" s="52">
        <f t="shared" si="7"/>
        <v>0</v>
      </c>
      <c r="P54" s="53">
        <f t="shared" si="8"/>
        <v>0</v>
      </c>
      <c r="Q54" s="54" t="str">
        <f t="shared" ref="Q54" si="250">IF(G54="","",+$G54*$P54)</f>
        <v/>
      </c>
      <c r="R54" s="59" t="str">
        <f t="shared" si="10"/>
        <v/>
      </c>
      <c r="S54" s="51"/>
    </row>
    <row r="55" spans="1:19" s="44" customFormat="1">
      <c r="A55" s="15"/>
      <c r="B55" s="56"/>
      <c r="C55" s="18" t="str">
        <f>IF(B55="","",VLOOKUP(B55,'Tabla de proceso'!$B$6:$G$25,2,))</f>
        <v/>
      </c>
      <c r="D55" s="17" t="str">
        <f>IF(B55="","",VLOOKUP(B55,'Tabla de proceso'!$B$5:$G$25,3,0))</f>
        <v/>
      </c>
      <c r="E55" s="13" t="str">
        <f t="shared" ref="E55" si="251">D55</f>
        <v/>
      </c>
      <c r="F55" s="13" t="str">
        <f t="shared" ref="F55" si="252">IF(E55="","",+$E55/9)</f>
        <v/>
      </c>
      <c r="G55" s="13" t="str">
        <f t="shared" ref="G55" si="253">IF(E55="","",($E55/60)/9)</f>
        <v/>
      </c>
      <c r="H55" s="13" t="e">
        <f t="shared" si="3"/>
        <v>#VALUE!</v>
      </c>
      <c r="I55" s="47"/>
      <c r="J55" s="16">
        <f t="shared" ref="J55" si="254">+WEEKNUM(I55)</f>
        <v>0</v>
      </c>
      <c r="K55" s="45" t="str">
        <f t="shared" si="5"/>
        <v>sábado</v>
      </c>
      <c r="L55" s="49"/>
      <c r="M55" s="50"/>
      <c r="N55" s="52">
        <f t="shared" si="6"/>
        <v>0</v>
      </c>
      <c r="O55" s="52">
        <f t="shared" si="7"/>
        <v>0</v>
      </c>
      <c r="P55" s="53">
        <f t="shared" si="8"/>
        <v>0</v>
      </c>
      <c r="Q55" s="54" t="str">
        <f t="shared" ref="Q55" si="255">IF(G55="","",+$G55*$P55)</f>
        <v/>
      </c>
      <c r="R55" s="59" t="str">
        <f t="shared" si="10"/>
        <v/>
      </c>
      <c r="S55" s="51"/>
    </row>
    <row r="56" spans="1:19" s="44" customFormat="1">
      <c r="A56" s="15"/>
      <c r="B56" s="56"/>
      <c r="C56" s="18" t="str">
        <f>IF(B56="","",VLOOKUP(B56,'Tabla de proceso'!$B$6:$G$25,2,))</f>
        <v/>
      </c>
      <c r="D56" s="17" t="str">
        <f>IF(B56="","",VLOOKUP(B56,'Tabla de proceso'!$B$5:$G$25,3,0))</f>
        <v/>
      </c>
      <c r="E56" s="13" t="str">
        <f t="shared" ref="E56" si="256">D56</f>
        <v/>
      </c>
      <c r="F56" s="13" t="str">
        <f t="shared" ref="F56" si="257">IF(E56="","",+$E56/9)</f>
        <v/>
      </c>
      <c r="G56" s="13" t="str">
        <f t="shared" ref="G56" si="258">IF(E56="","",($E56/60)/9)</f>
        <v/>
      </c>
      <c r="H56" s="13" t="e">
        <f t="shared" si="3"/>
        <v>#VALUE!</v>
      </c>
      <c r="I56" s="47"/>
      <c r="J56" s="16">
        <f t="shared" ref="J56" si="259">+WEEKNUM(I56)</f>
        <v>0</v>
      </c>
      <c r="K56" s="45" t="str">
        <f t="shared" si="5"/>
        <v>sábado</v>
      </c>
      <c r="L56" s="49"/>
      <c r="M56" s="50"/>
      <c r="N56" s="52">
        <f t="shared" si="6"/>
        <v>0</v>
      </c>
      <c r="O56" s="52">
        <f t="shared" si="7"/>
        <v>0</v>
      </c>
      <c r="P56" s="53">
        <f t="shared" si="8"/>
        <v>0</v>
      </c>
      <c r="Q56" s="54" t="str">
        <f t="shared" ref="Q56" si="260">IF(G56="","",+$G56*$P56)</f>
        <v/>
      </c>
      <c r="R56" s="59" t="str">
        <f t="shared" si="10"/>
        <v/>
      </c>
      <c r="S56" s="51"/>
    </row>
    <row r="57" spans="1:19" s="44" customFormat="1">
      <c r="A57" s="15"/>
      <c r="B57" s="56"/>
      <c r="C57" s="18" t="str">
        <f>IF(B57="","",VLOOKUP(B57,'Tabla de proceso'!$B$6:$G$25,2,))</f>
        <v/>
      </c>
      <c r="D57" s="17" t="str">
        <f>IF(B57="","",VLOOKUP(B57,'Tabla de proceso'!$B$5:$G$25,3,0))</f>
        <v/>
      </c>
      <c r="E57" s="13" t="str">
        <f t="shared" ref="E57" si="261">D57</f>
        <v/>
      </c>
      <c r="F57" s="13" t="str">
        <f t="shared" ref="F57" si="262">IF(E57="","",+$E57/9)</f>
        <v/>
      </c>
      <c r="G57" s="13" t="str">
        <f t="shared" ref="G57" si="263">IF(E57="","",($E57/60)/9)</f>
        <v/>
      </c>
      <c r="H57" s="13" t="e">
        <f t="shared" si="3"/>
        <v>#VALUE!</v>
      </c>
      <c r="I57" s="47"/>
      <c r="J57" s="16">
        <f t="shared" ref="J57" si="264">+WEEKNUM(I57)</f>
        <v>0</v>
      </c>
      <c r="K57" s="45" t="str">
        <f t="shared" si="5"/>
        <v>sábado</v>
      </c>
      <c r="L57" s="49"/>
      <c r="M57" s="50"/>
      <c r="N57" s="52">
        <f t="shared" si="6"/>
        <v>0</v>
      </c>
      <c r="O57" s="52">
        <f t="shared" si="7"/>
        <v>0</v>
      </c>
      <c r="P57" s="53">
        <f t="shared" si="8"/>
        <v>0</v>
      </c>
      <c r="Q57" s="54" t="str">
        <f t="shared" ref="Q57" si="265">IF(G57="","",+$G57*$P57)</f>
        <v/>
      </c>
      <c r="R57" s="59" t="str">
        <f t="shared" si="10"/>
        <v/>
      </c>
      <c r="S57" s="51"/>
    </row>
    <row r="58" spans="1:19" s="44" customFormat="1">
      <c r="A58" s="15"/>
      <c r="B58" s="56"/>
      <c r="C58" s="18" t="str">
        <f>IF(B58="","",VLOOKUP(B58,'Tabla de proceso'!$B$6:$G$25,2,))</f>
        <v/>
      </c>
      <c r="D58" s="17" t="str">
        <f>IF(B58="","",VLOOKUP(B58,'Tabla de proceso'!$B$5:$G$25,3,0))</f>
        <v/>
      </c>
      <c r="E58" s="13" t="str">
        <f t="shared" ref="E58" si="266">D58</f>
        <v/>
      </c>
      <c r="F58" s="13" t="str">
        <f t="shared" ref="F58" si="267">IF(E58="","",+$E58/9)</f>
        <v/>
      </c>
      <c r="G58" s="13" t="str">
        <f t="shared" ref="G58" si="268">IF(E58="","",($E58/60)/9)</f>
        <v/>
      </c>
      <c r="H58" s="13" t="e">
        <f t="shared" si="3"/>
        <v>#VALUE!</v>
      </c>
      <c r="I58" s="47"/>
      <c r="J58" s="16">
        <f t="shared" ref="J58" si="269">+WEEKNUM(I58)</f>
        <v>0</v>
      </c>
      <c r="K58" s="45" t="str">
        <f t="shared" si="5"/>
        <v>sábado</v>
      </c>
      <c r="L58" s="49"/>
      <c r="M58" s="50"/>
      <c r="N58" s="52">
        <f t="shared" si="6"/>
        <v>0</v>
      </c>
      <c r="O58" s="52">
        <f t="shared" si="7"/>
        <v>0</v>
      </c>
      <c r="P58" s="53">
        <f t="shared" si="8"/>
        <v>0</v>
      </c>
      <c r="Q58" s="54" t="str">
        <f t="shared" ref="Q58" si="270">IF(G58="","",+$G58*$P58)</f>
        <v/>
      </c>
      <c r="R58" s="59" t="str">
        <f t="shared" si="10"/>
        <v/>
      </c>
      <c r="S58" s="51"/>
    </row>
    <row r="59" spans="1:19" s="44" customFormat="1">
      <c r="A59" s="15"/>
      <c r="B59" s="56"/>
      <c r="C59" s="18" t="str">
        <f>IF(B59="","",VLOOKUP(B59,'Tabla de proceso'!$B$6:$G$25,2,))</f>
        <v/>
      </c>
      <c r="D59" s="17" t="str">
        <f>IF(B59="","",VLOOKUP(B59,'Tabla de proceso'!$B$5:$G$25,3,0))</f>
        <v/>
      </c>
      <c r="E59" s="13" t="str">
        <f t="shared" ref="E59" si="271">D59</f>
        <v/>
      </c>
      <c r="F59" s="13" t="str">
        <f t="shared" ref="F59" si="272">IF(E59="","",+$E59/9)</f>
        <v/>
      </c>
      <c r="G59" s="13" t="str">
        <f t="shared" ref="G59" si="273">IF(E59="","",($E59/60)/9)</f>
        <v/>
      </c>
      <c r="H59" s="13" t="e">
        <f t="shared" si="3"/>
        <v>#VALUE!</v>
      </c>
      <c r="I59" s="47"/>
      <c r="J59" s="16">
        <f t="shared" ref="J59" si="274">+WEEKNUM(I59)</f>
        <v>0</v>
      </c>
      <c r="K59" s="45" t="str">
        <f t="shared" si="5"/>
        <v>sábado</v>
      </c>
      <c r="L59" s="49"/>
      <c r="M59" s="50"/>
      <c r="N59" s="52">
        <f t="shared" si="6"/>
        <v>0</v>
      </c>
      <c r="O59" s="52">
        <f t="shared" si="7"/>
        <v>0</v>
      </c>
      <c r="P59" s="53">
        <f t="shared" si="8"/>
        <v>0</v>
      </c>
      <c r="Q59" s="54" t="str">
        <f t="shared" ref="Q59" si="275">IF(G59="","",+$G59*$P59)</f>
        <v/>
      </c>
      <c r="R59" s="59" t="str">
        <f t="shared" si="10"/>
        <v/>
      </c>
      <c r="S59" s="51"/>
    </row>
    <row r="60" spans="1:19" s="44" customFormat="1">
      <c r="A60" s="15"/>
      <c r="B60" s="56"/>
      <c r="C60" s="18" t="str">
        <f>IF(B60="","",VLOOKUP(B60,'Tabla de proceso'!$B$6:$G$25,2,))</f>
        <v/>
      </c>
      <c r="D60" s="17" t="str">
        <f>IF(B60="","",VLOOKUP(B60,'Tabla de proceso'!$B$5:$G$25,3,0))</f>
        <v/>
      </c>
      <c r="E60" s="13" t="str">
        <f t="shared" ref="E60" si="276">D60</f>
        <v/>
      </c>
      <c r="F60" s="13" t="str">
        <f t="shared" ref="F60" si="277">IF(E60="","",+$E60/9)</f>
        <v/>
      </c>
      <c r="G60" s="13" t="str">
        <f t="shared" ref="G60" si="278">IF(E60="","",($E60/60)/9)</f>
        <v/>
      </c>
      <c r="H60" s="13" t="e">
        <f t="shared" si="3"/>
        <v>#VALUE!</v>
      </c>
      <c r="I60" s="47"/>
      <c r="J60" s="16">
        <f t="shared" ref="J60" si="279">+WEEKNUM(I60)</f>
        <v>0</v>
      </c>
      <c r="K60" s="45" t="str">
        <f t="shared" si="5"/>
        <v>sábado</v>
      </c>
      <c r="L60" s="48"/>
      <c r="M60" s="50"/>
      <c r="N60" s="52">
        <f t="shared" si="6"/>
        <v>0</v>
      </c>
      <c r="O60" s="52">
        <f t="shared" si="7"/>
        <v>0</v>
      </c>
      <c r="P60" s="53">
        <f t="shared" si="8"/>
        <v>0</v>
      </c>
      <c r="Q60" s="54" t="str">
        <f t="shared" ref="Q60" si="280">IF(G60="","",+$G60*$P60)</f>
        <v/>
      </c>
      <c r="R60" s="59" t="str">
        <f t="shared" si="10"/>
        <v/>
      </c>
      <c r="S60" s="51"/>
    </row>
    <row r="61" spans="1:19" s="44" customFormat="1">
      <c r="A61" s="15"/>
      <c r="B61" s="56"/>
      <c r="C61" s="18" t="str">
        <f>IF(B61="","",VLOOKUP(B61,'Tabla de proceso'!$B$6:$G$25,2,))</f>
        <v/>
      </c>
      <c r="D61" s="17" t="str">
        <f>IF(B61="","",VLOOKUP(B61,'Tabla de proceso'!$B$5:$G$25,3,0))</f>
        <v/>
      </c>
      <c r="E61" s="13" t="str">
        <f t="shared" ref="E61" si="281">D61</f>
        <v/>
      </c>
      <c r="F61" s="13" t="str">
        <f t="shared" ref="F61" si="282">IF(E61="","",+$E61/9)</f>
        <v/>
      </c>
      <c r="G61" s="13" t="str">
        <f t="shared" ref="G61" si="283">IF(E61="","",($E61/60)/9)</f>
        <v/>
      </c>
      <c r="H61" s="13" t="e">
        <f t="shared" si="3"/>
        <v>#VALUE!</v>
      </c>
      <c r="I61" s="47"/>
      <c r="J61" s="16">
        <f t="shared" ref="J61" si="284">+WEEKNUM(I61)</f>
        <v>0</v>
      </c>
      <c r="K61" s="45" t="str">
        <f t="shared" si="5"/>
        <v>sábado</v>
      </c>
      <c r="L61" s="48"/>
      <c r="M61" s="50"/>
      <c r="N61" s="52">
        <f t="shared" si="6"/>
        <v>0</v>
      </c>
      <c r="O61" s="52">
        <f t="shared" si="7"/>
        <v>0</v>
      </c>
      <c r="P61" s="53">
        <f t="shared" si="8"/>
        <v>0</v>
      </c>
      <c r="Q61" s="54" t="str">
        <f t="shared" ref="Q61" si="285">IF(G61="","",+$G61*$P61)</f>
        <v/>
      </c>
      <c r="R61" s="59" t="str">
        <f t="shared" si="10"/>
        <v/>
      </c>
      <c r="S61" s="51"/>
    </row>
    <row r="62" spans="1:19" s="44" customFormat="1">
      <c r="A62" s="15"/>
      <c r="B62" s="56"/>
      <c r="C62" s="18" t="str">
        <f>IF(B62="","",VLOOKUP(B62,'Tabla de proceso'!$B$6:$G$25,2,))</f>
        <v/>
      </c>
      <c r="D62" s="17" t="str">
        <f>IF(B62="","",VLOOKUP(B62,'Tabla de proceso'!$B$5:$G$25,3,0))</f>
        <v/>
      </c>
      <c r="E62" s="13" t="str">
        <f t="shared" ref="E62" si="286">D62</f>
        <v/>
      </c>
      <c r="F62" s="13" t="str">
        <f t="shared" ref="F62" si="287">IF(E62="","",+$E62/9)</f>
        <v/>
      </c>
      <c r="G62" s="13" t="str">
        <f t="shared" ref="G62" si="288">IF(E62="","",($E62/60)/9)</f>
        <v/>
      </c>
      <c r="H62" s="13" t="e">
        <f t="shared" si="3"/>
        <v>#VALUE!</v>
      </c>
      <c r="I62" s="47"/>
      <c r="J62" s="16">
        <f t="shared" ref="J62" si="289">+WEEKNUM(I62)</f>
        <v>0</v>
      </c>
      <c r="K62" s="45" t="str">
        <f t="shared" si="5"/>
        <v>sábado</v>
      </c>
      <c r="L62" s="48"/>
      <c r="M62" s="50"/>
      <c r="N62" s="52">
        <f t="shared" si="6"/>
        <v>0</v>
      </c>
      <c r="O62" s="52">
        <f t="shared" si="7"/>
        <v>0</v>
      </c>
      <c r="P62" s="53">
        <f t="shared" si="8"/>
        <v>0</v>
      </c>
      <c r="Q62" s="54" t="str">
        <f t="shared" ref="Q62" si="290">IF(G62="","",+$G62*$P62)</f>
        <v/>
      </c>
      <c r="R62" s="59" t="str">
        <f t="shared" si="10"/>
        <v/>
      </c>
      <c r="S62" s="51"/>
    </row>
    <row r="63" spans="1:19" s="44" customFormat="1">
      <c r="A63" s="15"/>
      <c r="B63" s="56"/>
      <c r="C63" s="18" t="str">
        <f>IF(B63="","",VLOOKUP(B63,'Tabla de proceso'!$B$6:$G$25,2,))</f>
        <v/>
      </c>
      <c r="D63" s="17" t="str">
        <f>IF(B63="","",VLOOKUP(B63,'Tabla de proceso'!$B$5:$G$25,3,0))</f>
        <v/>
      </c>
      <c r="E63" s="13" t="str">
        <f t="shared" ref="E63" si="291">D63</f>
        <v/>
      </c>
      <c r="F63" s="13" t="str">
        <f t="shared" ref="F63" si="292">IF(E63="","",+$E63/9)</f>
        <v/>
      </c>
      <c r="G63" s="13" t="str">
        <f t="shared" ref="G63" si="293">IF(E63="","",($E63/60)/9)</f>
        <v/>
      </c>
      <c r="H63" s="13" t="e">
        <f t="shared" si="3"/>
        <v>#VALUE!</v>
      </c>
      <c r="I63" s="47"/>
      <c r="J63" s="16">
        <f t="shared" ref="J63" si="294">+WEEKNUM(I63)</f>
        <v>0</v>
      </c>
      <c r="K63" s="45" t="str">
        <f t="shared" si="5"/>
        <v>sábado</v>
      </c>
      <c r="L63" s="48"/>
      <c r="M63" s="50"/>
      <c r="N63" s="52">
        <f t="shared" si="6"/>
        <v>0</v>
      </c>
      <c r="O63" s="52">
        <f t="shared" si="7"/>
        <v>0</v>
      </c>
      <c r="P63" s="53">
        <f t="shared" si="8"/>
        <v>0</v>
      </c>
      <c r="Q63" s="54" t="str">
        <f t="shared" ref="Q63" si="295">IF(G63="","",+$G63*$P63)</f>
        <v/>
      </c>
      <c r="R63" s="59" t="str">
        <f t="shared" si="10"/>
        <v/>
      </c>
      <c r="S63" s="51"/>
    </row>
    <row r="64" spans="1:19" s="44" customFormat="1">
      <c r="A64" s="15"/>
      <c r="B64" s="56"/>
      <c r="C64" s="18" t="str">
        <f>IF(B64="","",VLOOKUP(B64,'Tabla de proceso'!$B$6:$G$25,2,))</f>
        <v/>
      </c>
      <c r="D64" s="17" t="str">
        <f>IF(B64="","",VLOOKUP(B64,'Tabla de proceso'!$B$5:$G$25,3,0))</f>
        <v/>
      </c>
      <c r="E64" s="13" t="str">
        <f t="shared" ref="E64" si="296">D64</f>
        <v/>
      </c>
      <c r="F64" s="13" t="str">
        <f t="shared" ref="F64" si="297">IF(E64="","",+$E64/9)</f>
        <v/>
      </c>
      <c r="G64" s="13" t="str">
        <f t="shared" ref="G64" si="298">IF(E64="","",($E64/60)/9)</f>
        <v/>
      </c>
      <c r="H64" s="13" t="e">
        <f t="shared" si="3"/>
        <v>#VALUE!</v>
      </c>
      <c r="I64" s="47"/>
      <c r="J64" s="16">
        <f t="shared" ref="J64" si="299">+WEEKNUM(I64)</f>
        <v>0</v>
      </c>
      <c r="K64" s="45" t="str">
        <f t="shared" si="5"/>
        <v>sábado</v>
      </c>
      <c r="L64" s="48"/>
      <c r="M64" s="50"/>
      <c r="N64" s="52">
        <f t="shared" si="6"/>
        <v>0</v>
      </c>
      <c r="O64" s="52">
        <f t="shared" si="7"/>
        <v>0</v>
      </c>
      <c r="P64" s="53">
        <f t="shared" si="8"/>
        <v>0</v>
      </c>
      <c r="Q64" s="54" t="str">
        <f t="shared" ref="Q64" si="300">IF(G64="","",+$G64*$P64)</f>
        <v/>
      </c>
      <c r="R64" s="59" t="str">
        <f t="shared" si="10"/>
        <v/>
      </c>
      <c r="S64" s="51"/>
    </row>
    <row r="65" spans="1:19" s="44" customFormat="1">
      <c r="A65" s="15"/>
      <c r="B65" s="56"/>
      <c r="C65" s="18" t="str">
        <f>IF(B65="","",VLOOKUP(B65,'Tabla de proceso'!$B$6:$G$25,2,))</f>
        <v/>
      </c>
      <c r="D65" s="17" t="str">
        <f>IF(B65="","",VLOOKUP(B65,'Tabla de proceso'!$B$5:$G$25,3,0))</f>
        <v/>
      </c>
      <c r="E65" s="13" t="str">
        <f t="shared" ref="E65" si="301">D65</f>
        <v/>
      </c>
      <c r="F65" s="13" t="str">
        <f t="shared" ref="F65" si="302">IF(E65="","",+$E65/9)</f>
        <v/>
      </c>
      <c r="G65" s="13" t="str">
        <f t="shared" ref="G65" si="303">IF(E65="","",($E65/60)/9)</f>
        <v/>
      </c>
      <c r="H65" s="13" t="e">
        <f t="shared" si="3"/>
        <v>#VALUE!</v>
      </c>
      <c r="I65" s="47"/>
      <c r="J65" s="16">
        <f t="shared" ref="J65" si="304">+WEEKNUM(I65)</f>
        <v>0</v>
      </c>
      <c r="K65" s="45" t="str">
        <f t="shared" si="5"/>
        <v>sábado</v>
      </c>
      <c r="L65" s="48"/>
      <c r="M65" s="50"/>
      <c r="N65" s="52">
        <f t="shared" si="6"/>
        <v>0</v>
      </c>
      <c r="O65" s="52">
        <f t="shared" si="7"/>
        <v>0</v>
      </c>
      <c r="P65" s="53">
        <f t="shared" si="8"/>
        <v>0</v>
      </c>
      <c r="Q65" s="54" t="str">
        <f t="shared" ref="Q65" si="305">IF(G65="","",+$G65*$P65)</f>
        <v/>
      </c>
      <c r="R65" s="59" t="str">
        <f t="shared" si="10"/>
        <v/>
      </c>
      <c r="S65" s="51"/>
    </row>
    <row r="66" spans="1:19" s="44" customFormat="1">
      <c r="A66" s="15"/>
      <c r="B66" s="56"/>
      <c r="C66" s="18" t="str">
        <f>IF(B66="","",VLOOKUP(B66,'Tabla de proceso'!$B$6:$G$25,2,))</f>
        <v/>
      </c>
      <c r="D66" s="17" t="str">
        <f>IF(B66="","",VLOOKUP(B66,'Tabla de proceso'!$B$5:$G$25,3,0))</f>
        <v/>
      </c>
      <c r="E66" s="13" t="str">
        <f t="shared" ref="E66" si="306">D66</f>
        <v/>
      </c>
      <c r="F66" s="13" t="str">
        <f t="shared" ref="F66" si="307">IF(E66="","",+$E66/9)</f>
        <v/>
      </c>
      <c r="G66" s="13" t="str">
        <f t="shared" ref="G66" si="308">IF(E66="","",($E66/60)/9)</f>
        <v/>
      </c>
      <c r="H66" s="13" t="e">
        <f t="shared" si="3"/>
        <v>#VALUE!</v>
      </c>
      <c r="I66" s="47"/>
      <c r="J66" s="16">
        <f t="shared" ref="J66" si="309">+WEEKNUM(I66)</f>
        <v>0</v>
      </c>
      <c r="K66" s="45" t="str">
        <f t="shared" si="5"/>
        <v>sábado</v>
      </c>
      <c r="L66" s="48"/>
      <c r="M66" s="50"/>
      <c r="N66" s="52">
        <f t="shared" si="6"/>
        <v>0</v>
      </c>
      <c r="O66" s="52">
        <f t="shared" si="7"/>
        <v>0</v>
      </c>
      <c r="P66" s="53">
        <f t="shared" si="8"/>
        <v>0</v>
      </c>
      <c r="Q66" s="54" t="str">
        <f t="shared" ref="Q66" si="310">IF(G66="","",+$G66*$P66)</f>
        <v/>
      </c>
      <c r="R66" s="59" t="str">
        <f t="shared" si="10"/>
        <v/>
      </c>
      <c r="S66" s="51"/>
    </row>
    <row r="67" spans="1:19" s="44" customFormat="1">
      <c r="A67" s="15"/>
      <c r="B67" s="56"/>
      <c r="C67" s="18" t="str">
        <f>IF(B67="","",VLOOKUP(B67,'Tabla de proceso'!$B$6:$G$25,2,))</f>
        <v/>
      </c>
      <c r="D67" s="17" t="str">
        <f>IF(B67="","",VLOOKUP(B67,'Tabla de proceso'!$B$5:$G$25,3,0))</f>
        <v/>
      </c>
      <c r="E67" s="13" t="str">
        <f t="shared" ref="E67" si="311">D67</f>
        <v/>
      </c>
      <c r="F67" s="13" t="str">
        <f t="shared" ref="F67" si="312">IF(E67="","",+$E67/9)</f>
        <v/>
      </c>
      <c r="G67" s="13" t="str">
        <f t="shared" ref="G67" si="313">IF(E67="","",($E67/60)/9)</f>
        <v/>
      </c>
      <c r="H67" s="13" t="e">
        <f t="shared" si="3"/>
        <v>#VALUE!</v>
      </c>
      <c r="I67" s="47"/>
      <c r="J67" s="16">
        <f t="shared" ref="J67" si="314">+WEEKNUM(I67)</f>
        <v>0</v>
      </c>
      <c r="K67" s="45" t="str">
        <f t="shared" si="5"/>
        <v>sábado</v>
      </c>
      <c r="L67" s="48"/>
      <c r="M67" s="50"/>
      <c r="N67" s="52">
        <f t="shared" si="6"/>
        <v>0</v>
      </c>
      <c r="O67" s="52">
        <f t="shared" si="7"/>
        <v>0</v>
      </c>
      <c r="P67" s="53">
        <f t="shared" si="8"/>
        <v>0</v>
      </c>
      <c r="Q67" s="54" t="str">
        <f t="shared" ref="Q67" si="315">IF(G67="","",+$G67*$P67)</f>
        <v/>
      </c>
      <c r="R67" s="59" t="str">
        <f t="shared" si="10"/>
        <v/>
      </c>
      <c r="S67" s="51"/>
    </row>
    <row r="68" spans="1:19" s="44" customFormat="1">
      <c r="A68" s="15"/>
      <c r="B68" s="56"/>
      <c r="C68" s="18" t="str">
        <f>IF(B68="","",VLOOKUP(B68,'Tabla de proceso'!$B$6:$G$25,2,))</f>
        <v/>
      </c>
      <c r="D68" s="17" t="str">
        <f>IF(B68="","",VLOOKUP(B68,'Tabla de proceso'!$B$5:$G$25,3,0))</f>
        <v/>
      </c>
      <c r="E68" s="13" t="str">
        <f t="shared" ref="E68" si="316">D68</f>
        <v/>
      </c>
      <c r="F68" s="13" t="str">
        <f t="shared" ref="F68" si="317">IF(E68="","",+$E68/9)</f>
        <v/>
      </c>
      <c r="G68" s="13" t="str">
        <f t="shared" ref="G68" si="318">IF(E68="","",($E68/60)/9)</f>
        <v/>
      </c>
      <c r="H68" s="13" t="e">
        <f t="shared" si="3"/>
        <v>#VALUE!</v>
      </c>
      <c r="I68" s="47"/>
      <c r="J68" s="16">
        <f t="shared" ref="J68" si="319">+WEEKNUM(I68)</f>
        <v>0</v>
      </c>
      <c r="K68" s="45" t="str">
        <f t="shared" si="5"/>
        <v>sábado</v>
      </c>
      <c r="L68" s="48"/>
      <c r="M68" s="50"/>
      <c r="N68" s="52">
        <f t="shared" si="6"/>
        <v>0</v>
      </c>
      <c r="O68" s="52">
        <f t="shared" si="7"/>
        <v>0</v>
      </c>
      <c r="P68" s="53">
        <f t="shared" si="8"/>
        <v>0</v>
      </c>
      <c r="Q68" s="54" t="str">
        <f t="shared" ref="Q68" si="320">IF(G68="","",+$G68*$P68)</f>
        <v/>
      </c>
      <c r="R68" s="59" t="str">
        <f t="shared" si="10"/>
        <v/>
      </c>
      <c r="S68" s="51"/>
    </row>
    <row r="69" spans="1:19" s="44" customFormat="1">
      <c r="A69" s="15"/>
      <c r="B69" s="56"/>
      <c r="C69" s="18" t="str">
        <f>IF(B69="","",VLOOKUP(B69,'Tabla de proceso'!$B$6:$G$25,2,))</f>
        <v/>
      </c>
      <c r="D69" s="17" t="str">
        <f>IF(B69="","",VLOOKUP(B69,'Tabla de proceso'!$B$5:$G$25,3,0))</f>
        <v/>
      </c>
      <c r="E69" s="13" t="str">
        <f t="shared" ref="E69" si="321">D69</f>
        <v/>
      </c>
      <c r="F69" s="13" t="str">
        <f t="shared" ref="F69" si="322">IF(E69="","",+$E69/9)</f>
        <v/>
      </c>
      <c r="G69" s="13" t="str">
        <f t="shared" ref="G69" si="323">IF(E69="","",($E69/60)/9)</f>
        <v/>
      </c>
      <c r="H69" s="13" t="e">
        <f t="shared" si="3"/>
        <v>#VALUE!</v>
      </c>
      <c r="I69" s="47"/>
      <c r="J69" s="16">
        <f t="shared" ref="J69" si="324">+WEEKNUM(I69)</f>
        <v>0</v>
      </c>
      <c r="K69" s="45" t="str">
        <f t="shared" si="5"/>
        <v>sábado</v>
      </c>
      <c r="L69" s="48"/>
      <c r="M69" s="50"/>
      <c r="N69" s="52">
        <f t="shared" si="6"/>
        <v>0</v>
      </c>
      <c r="O69" s="52">
        <f t="shared" si="7"/>
        <v>0</v>
      </c>
      <c r="P69" s="53">
        <f t="shared" si="8"/>
        <v>0</v>
      </c>
      <c r="Q69" s="54" t="str">
        <f t="shared" ref="Q69" si="325">IF(G69="","",+$G69*$P69)</f>
        <v/>
      </c>
      <c r="R69" s="59" t="str">
        <f t="shared" si="10"/>
        <v/>
      </c>
      <c r="S69" s="51"/>
    </row>
    <row r="70" spans="1:19" s="44" customFormat="1">
      <c r="A70" s="15"/>
      <c r="B70" s="56"/>
      <c r="C70" s="18" t="str">
        <f>IF(B70="","",VLOOKUP(B70,'Tabla de proceso'!$B$6:$G$25,2,))</f>
        <v/>
      </c>
      <c r="D70" s="17" t="str">
        <f>IF(B70="","",VLOOKUP(B70,'Tabla de proceso'!$B$5:$G$25,3,0))</f>
        <v/>
      </c>
      <c r="E70" s="13" t="str">
        <f t="shared" ref="E70" si="326">D70</f>
        <v/>
      </c>
      <c r="F70" s="13" t="str">
        <f t="shared" ref="F70" si="327">IF(E70="","",+$E70/9)</f>
        <v/>
      </c>
      <c r="G70" s="13" t="str">
        <f t="shared" ref="G70" si="328">IF(E70="","",($E70/60)/9)</f>
        <v/>
      </c>
      <c r="H70" s="13" t="e">
        <f t="shared" si="3"/>
        <v>#VALUE!</v>
      </c>
      <c r="I70" s="47"/>
      <c r="J70" s="16">
        <f t="shared" ref="J70" si="329">+WEEKNUM(I70)</f>
        <v>0</v>
      </c>
      <c r="K70" s="45" t="str">
        <f t="shared" si="5"/>
        <v>sábado</v>
      </c>
      <c r="L70" s="48"/>
      <c r="M70" s="50"/>
      <c r="N70" s="52">
        <f t="shared" si="6"/>
        <v>0</v>
      </c>
      <c r="O70" s="52">
        <f t="shared" si="7"/>
        <v>0</v>
      </c>
      <c r="P70" s="53">
        <f t="shared" si="8"/>
        <v>0</v>
      </c>
      <c r="Q70" s="54" t="str">
        <f t="shared" ref="Q70" si="330">IF(G70="","",+$G70*$P70)</f>
        <v/>
      </c>
      <c r="R70" s="59" t="str">
        <f t="shared" si="10"/>
        <v/>
      </c>
      <c r="S70" s="51"/>
    </row>
    <row r="71" spans="1:19" s="44" customFormat="1">
      <c r="A71" s="15"/>
      <c r="B71" s="56"/>
      <c r="C71" s="18" t="str">
        <f>IF(B71="","",VLOOKUP(B71,'Tabla de proceso'!$B$6:$G$25,2,))</f>
        <v/>
      </c>
      <c r="D71" s="17" t="str">
        <f>IF(B71="","",VLOOKUP(B71,'Tabla de proceso'!$B$5:$G$25,3,0))</f>
        <v/>
      </c>
      <c r="E71" s="13" t="str">
        <f t="shared" ref="E71" si="331">D71</f>
        <v/>
      </c>
      <c r="F71" s="13" t="str">
        <f t="shared" ref="F71" si="332">IF(E71="","",+$E71/9)</f>
        <v/>
      </c>
      <c r="G71" s="13" t="str">
        <f t="shared" ref="G71" si="333">IF(E71="","",($E71/60)/9)</f>
        <v/>
      </c>
      <c r="H71" s="13" t="e">
        <f t="shared" si="3"/>
        <v>#VALUE!</v>
      </c>
      <c r="I71" s="47"/>
      <c r="J71" s="16">
        <f t="shared" ref="J71" si="334">+WEEKNUM(I71)</f>
        <v>0</v>
      </c>
      <c r="K71" s="45" t="str">
        <f t="shared" si="5"/>
        <v>sábado</v>
      </c>
      <c r="L71" s="48"/>
      <c r="M71" s="50"/>
      <c r="N71" s="52">
        <f t="shared" si="6"/>
        <v>0</v>
      </c>
      <c r="O71" s="52">
        <f t="shared" si="7"/>
        <v>0</v>
      </c>
      <c r="P71" s="53">
        <f t="shared" si="8"/>
        <v>0</v>
      </c>
      <c r="Q71" s="54" t="str">
        <f t="shared" ref="Q71" si="335">IF(G71="","",+$G71*$P71)</f>
        <v/>
      </c>
      <c r="R71" s="59" t="str">
        <f t="shared" si="10"/>
        <v/>
      </c>
      <c r="S71" s="51"/>
    </row>
    <row r="72" spans="1:19" s="44" customFormat="1">
      <c r="A72" s="15"/>
      <c r="B72" s="56"/>
      <c r="C72" s="18" t="str">
        <f>IF(B72="","",VLOOKUP(B72,'Tabla de proceso'!$B$6:$G$25,2,))</f>
        <v/>
      </c>
      <c r="D72" s="17" t="str">
        <f>IF(B72="","",VLOOKUP(B72,'Tabla de proceso'!$B$5:$G$25,3,0))</f>
        <v/>
      </c>
      <c r="E72" s="13" t="str">
        <f t="shared" ref="E72" si="336">D72</f>
        <v/>
      </c>
      <c r="F72" s="13" t="str">
        <f t="shared" ref="F72" si="337">IF(E72="","",+$E72/9)</f>
        <v/>
      </c>
      <c r="G72" s="13" t="str">
        <f t="shared" ref="G72" si="338">IF(E72="","",($E72/60)/9)</f>
        <v/>
      </c>
      <c r="H72" s="13" t="e">
        <f t="shared" si="3"/>
        <v>#VALUE!</v>
      </c>
      <c r="I72" s="47"/>
      <c r="J72" s="16">
        <f t="shared" ref="J72" si="339">+WEEKNUM(I72)</f>
        <v>0</v>
      </c>
      <c r="K72" s="45" t="str">
        <f t="shared" si="5"/>
        <v>sábado</v>
      </c>
      <c r="L72" s="48"/>
      <c r="M72" s="50"/>
      <c r="N72" s="52">
        <f t="shared" si="6"/>
        <v>0</v>
      </c>
      <c r="O72" s="52">
        <f t="shared" si="7"/>
        <v>0</v>
      </c>
      <c r="P72" s="53">
        <f t="shared" si="8"/>
        <v>0</v>
      </c>
      <c r="Q72" s="54" t="str">
        <f t="shared" ref="Q72" si="340">IF(G72="","",+$G72*$P72)</f>
        <v/>
      </c>
      <c r="R72" s="59" t="str">
        <f t="shared" si="10"/>
        <v/>
      </c>
      <c r="S72" s="51"/>
    </row>
    <row r="73" spans="1:19" s="44" customFormat="1">
      <c r="A73" s="15"/>
      <c r="B73" s="56"/>
      <c r="C73" s="18" t="str">
        <f>IF(B73="","",VLOOKUP(B73,'Tabla de proceso'!$B$6:$G$25,2,))</f>
        <v/>
      </c>
      <c r="D73" s="17" t="str">
        <f>IF(B73="","",VLOOKUP(B73,'Tabla de proceso'!$B$5:$G$25,3,0))</f>
        <v/>
      </c>
      <c r="E73" s="13" t="str">
        <f t="shared" ref="E73" si="341">D73</f>
        <v/>
      </c>
      <c r="F73" s="13" t="str">
        <f t="shared" ref="F73" si="342">IF(E73="","",+$E73/9)</f>
        <v/>
      </c>
      <c r="G73" s="13" t="str">
        <f t="shared" ref="G73" si="343">IF(E73="","",($E73/60)/9)</f>
        <v/>
      </c>
      <c r="H73" s="13" t="e">
        <f t="shared" si="3"/>
        <v>#VALUE!</v>
      </c>
      <c r="I73" s="47"/>
      <c r="J73" s="16">
        <f t="shared" ref="J73" si="344">+WEEKNUM(I73)</f>
        <v>0</v>
      </c>
      <c r="K73" s="45" t="str">
        <f t="shared" si="5"/>
        <v>sábado</v>
      </c>
      <c r="L73" s="48"/>
      <c r="M73" s="50"/>
      <c r="N73" s="52">
        <f t="shared" si="6"/>
        <v>0</v>
      </c>
      <c r="O73" s="52">
        <f t="shared" si="7"/>
        <v>0</v>
      </c>
      <c r="P73" s="53">
        <f t="shared" si="8"/>
        <v>0</v>
      </c>
      <c r="Q73" s="54" t="str">
        <f t="shared" ref="Q73" si="345">IF(G73="","",+$G73*$P73)</f>
        <v/>
      </c>
      <c r="R73" s="59" t="str">
        <f t="shared" si="10"/>
        <v/>
      </c>
      <c r="S73" s="51"/>
    </row>
    <row r="74" spans="1:19" s="44" customFormat="1">
      <c r="A74" s="15"/>
      <c r="B74" s="56"/>
      <c r="C74" s="18" t="str">
        <f>IF(B74="","",VLOOKUP(B74,'Tabla de proceso'!$B$6:$G$25,2,))</f>
        <v/>
      </c>
      <c r="D74" s="17" t="str">
        <f>IF(B74="","",VLOOKUP(B74,'Tabla de proceso'!$B$5:$G$25,3,0))</f>
        <v/>
      </c>
      <c r="E74" s="13" t="str">
        <f t="shared" ref="E74" si="346">D74</f>
        <v/>
      </c>
      <c r="F74" s="13" t="str">
        <f t="shared" ref="F74" si="347">IF(E74="","",+$E74/9)</f>
        <v/>
      </c>
      <c r="G74" s="13" t="str">
        <f t="shared" ref="G74" si="348">IF(E74="","",($E74/60)/9)</f>
        <v/>
      </c>
      <c r="H74" s="13" t="e">
        <f t="shared" si="3"/>
        <v>#VALUE!</v>
      </c>
      <c r="I74" s="47"/>
      <c r="J74" s="16">
        <f t="shared" ref="J74" si="349">+WEEKNUM(I74)</f>
        <v>0</v>
      </c>
      <c r="K74" s="45" t="str">
        <f t="shared" si="5"/>
        <v>sábado</v>
      </c>
      <c r="L74" s="48"/>
      <c r="M74" s="50"/>
      <c r="N74" s="52">
        <f t="shared" si="6"/>
        <v>0</v>
      </c>
      <c r="O74" s="52">
        <f t="shared" si="7"/>
        <v>0</v>
      </c>
      <c r="P74" s="53">
        <f t="shared" si="8"/>
        <v>0</v>
      </c>
      <c r="Q74" s="54" t="str">
        <f t="shared" ref="Q74" si="350">IF(G74="","",+$G74*$P74)</f>
        <v/>
      </c>
      <c r="R74" s="59" t="str">
        <f t="shared" si="10"/>
        <v/>
      </c>
      <c r="S74" s="51"/>
    </row>
    <row r="75" spans="1:19" s="44" customFormat="1">
      <c r="A75" s="15"/>
      <c r="B75" s="56"/>
      <c r="C75" s="18" t="str">
        <f>IF(B75="","",VLOOKUP(B75,'Tabla de proceso'!$B$6:$G$25,2,))</f>
        <v/>
      </c>
      <c r="D75" s="17" t="str">
        <f>IF(B75="","",VLOOKUP(B75,'Tabla de proceso'!$B$5:$G$25,3,0))</f>
        <v/>
      </c>
      <c r="E75" s="13" t="str">
        <f t="shared" ref="E75" si="351">D75</f>
        <v/>
      </c>
      <c r="F75" s="13" t="str">
        <f t="shared" ref="F75" si="352">IF(E75="","",+$E75/9)</f>
        <v/>
      </c>
      <c r="G75" s="13" t="str">
        <f t="shared" ref="G75" si="353">IF(E75="","",($E75/60)/9)</f>
        <v/>
      </c>
      <c r="H75" s="13" t="e">
        <f t="shared" si="3"/>
        <v>#VALUE!</v>
      </c>
      <c r="I75" s="47"/>
      <c r="J75" s="16">
        <f t="shared" ref="J75" si="354">+WEEKNUM(I75)</f>
        <v>0</v>
      </c>
      <c r="K75" s="45" t="str">
        <f t="shared" si="5"/>
        <v>sábado</v>
      </c>
      <c r="L75" s="48"/>
      <c r="M75" s="50"/>
      <c r="N75" s="52">
        <f t="shared" si="6"/>
        <v>0</v>
      </c>
      <c r="O75" s="52">
        <f t="shared" si="7"/>
        <v>0</v>
      </c>
      <c r="P75" s="53">
        <f t="shared" si="8"/>
        <v>0</v>
      </c>
      <c r="Q75" s="54" t="str">
        <f t="shared" ref="Q75" si="355">IF(G75="","",+$G75*$P75)</f>
        <v/>
      </c>
      <c r="R75" s="59" t="str">
        <f t="shared" si="10"/>
        <v/>
      </c>
      <c r="S75" s="51"/>
    </row>
    <row r="76" spans="1:19" s="44" customFormat="1">
      <c r="A76" s="15"/>
      <c r="B76" s="56"/>
      <c r="C76" s="18" t="str">
        <f>IF(B76="","",VLOOKUP(B76,'Tabla de proceso'!$B$6:$G$25,2,))</f>
        <v/>
      </c>
      <c r="D76" s="17" t="str">
        <f>IF(B76="","",VLOOKUP(B76,'Tabla de proceso'!$B$5:$G$25,3,0))</f>
        <v/>
      </c>
      <c r="E76" s="13" t="str">
        <f t="shared" ref="E76" si="356">D76</f>
        <v/>
      </c>
      <c r="F76" s="13" t="str">
        <f t="shared" ref="F76" si="357">IF(E76="","",+$E76/9)</f>
        <v/>
      </c>
      <c r="G76" s="13" t="str">
        <f t="shared" ref="G76" si="358">IF(E76="","",($E76/60)/9)</f>
        <v/>
      </c>
      <c r="H76" s="13" t="e">
        <f t="shared" si="3"/>
        <v>#VALUE!</v>
      </c>
      <c r="I76" s="47"/>
      <c r="J76" s="16">
        <f t="shared" ref="J76" si="359">+WEEKNUM(I76)</f>
        <v>0</v>
      </c>
      <c r="K76" s="45" t="str">
        <f t="shared" si="5"/>
        <v>sábado</v>
      </c>
      <c r="L76" s="48"/>
      <c r="M76" s="50"/>
      <c r="N76" s="52">
        <f t="shared" si="6"/>
        <v>0</v>
      </c>
      <c r="O76" s="52">
        <f t="shared" si="7"/>
        <v>0</v>
      </c>
      <c r="P76" s="53">
        <f t="shared" si="8"/>
        <v>0</v>
      </c>
      <c r="Q76" s="54" t="str">
        <f t="shared" ref="Q76" si="360">IF(G76="","",+$G76*$P76)</f>
        <v/>
      </c>
      <c r="R76" s="59" t="str">
        <f t="shared" si="10"/>
        <v/>
      </c>
      <c r="S76" s="51"/>
    </row>
    <row r="77" spans="1:19" s="44" customFormat="1">
      <c r="A77" s="15"/>
      <c r="B77" s="56"/>
      <c r="C77" s="18" t="str">
        <f>IF(B77="","",VLOOKUP(B77,'Tabla de proceso'!$B$6:$G$25,2,))</f>
        <v/>
      </c>
      <c r="D77" s="17" t="str">
        <f>IF(B77="","",VLOOKUP(B77,'Tabla de proceso'!$B$5:$G$25,3,0))</f>
        <v/>
      </c>
      <c r="E77" s="13" t="str">
        <f t="shared" ref="E77" si="361">D77</f>
        <v/>
      </c>
      <c r="F77" s="13" t="str">
        <f t="shared" ref="F77" si="362">IF(E77="","",+$E77/9)</f>
        <v/>
      </c>
      <c r="G77" s="13" t="str">
        <f t="shared" ref="G77" si="363">IF(E77="","",($E77/60)/9)</f>
        <v/>
      </c>
      <c r="H77" s="13" t="e">
        <f t="shared" si="3"/>
        <v>#VALUE!</v>
      </c>
      <c r="I77" s="47"/>
      <c r="J77" s="16">
        <f t="shared" ref="J77:J78" si="364">+WEEKNUM(I77)</f>
        <v>0</v>
      </c>
      <c r="K77" s="45" t="str">
        <f t="shared" si="5"/>
        <v>sábado</v>
      </c>
      <c r="L77" s="48"/>
      <c r="M77" s="50"/>
      <c r="N77" s="52">
        <f t="shared" si="6"/>
        <v>0</v>
      </c>
      <c r="O77" s="52">
        <f t="shared" si="7"/>
        <v>0</v>
      </c>
      <c r="P77" s="53">
        <f t="shared" si="8"/>
        <v>0</v>
      </c>
      <c r="Q77" s="54" t="str">
        <f t="shared" ref="Q77" si="365">IF(G77="","",+$G77*$P77)</f>
        <v/>
      </c>
      <c r="R77" s="59" t="str">
        <f t="shared" si="10"/>
        <v/>
      </c>
      <c r="S77" s="51"/>
    </row>
    <row r="78" spans="1:19" s="44" customFormat="1">
      <c r="A78" s="15"/>
      <c r="B78" s="56"/>
      <c r="C78" s="18"/>
      <c r="D78" s="17"/>
      <c r="E78" s="13"/>
      <c r="F78" s="13"/>
      <c r="G78" s="13"/>
      <c r="H78" s="13"/>
      <c r="I78" s="47"/>
      <c r="J78" s="16">
        <f t="shared" si="364"/>
        <v>0</v>
      </c>
      <c r="K78" s="45" t="str">
        <f t="shared" si="5"/>
        <v>sábado</v>
      </c>
      <c r="L78" s="48"/>
      <c r="M78" s="50"/>
      <c r="N78" s="52">
        <f t="shared" si="6"/>
        <v>0</v>
      </c>
      <c r="O78" s="52">
        <f t="shared" si="7"/>
        <v>0</v>
      </c>
      <c r="P78" s="53">
        <f t="shared" si="8"/>
        <v>0</v>
      </c>
      <c r="Q78" s="54" t="str">
        <f t="shared" ref="Q78" si="366">IF(G78="","",+$G78*$P78)</f>
        <v/>
      </c>
      <c r="R78" s="59"/>
      <c r="S78" s="51"/>
    </row>
    <row r="79" spans="1:19" s="44" customFormat="1">
      <c r="A79" s="15"/>
      <c r="B79" s="56"/>
      <c r="C79" s="18" t="str">
        <f>IF(B79="","",VLOOKUP(B79,'Tabla de proceso'!$B$6:$G$25,2,))</f>
        <v/>
      </c>
      <c r="D79" s="17" t="str">
        <f>IF(B79="","",VLOOKUP(B79,'Tabla de proceso'!$B$5:$G$25,3,0))</f>
        <v/>
      </c>
      <c r="E79" s="13" t="str">
        <f t="shared" ref="E79" si="367">D79</f>
        <v/>
      </c>
      <c r="F79" s="13" t="str">
        <f t="shared" ref="F79" si="368">IF(E79="","",+$E79/9)</f>
        <v/>
      </c>
      <c r="G79" s="13" t="str">
        <f t="shared" ref="G79" si="369">IF(E79="","",($E79/60)/9)</f>
        <v/>
      </c>
      <c r="H79" s="13" t="e">
        <f t="shared" si="3"/>
        <v>#VALUE!</v>
      </c>
      <c r="I79" s="47"/>
      <c r="J79" s="16">
        <f t="shared" ref="J79" si="370">+WEEKNUM(I79)</f>
        <v>0</v>
      </c>
      <c r="K79" s="45" t="str">
        <f t="shared" si="5"/>
        <v>sábado</v>
      </c>
      <c r="L79" s="48"/>
      <c r="M79" s="50"/>
      <c r="N79" s="52">
        <f t="shared" si="6"/>
        <v>0</v>
      </c>
      <c r="O79" s="52">
        <f t="shared" si="7"/>
        <v>0</v>
      </c>
      <c r="P79" s="53">
        <f t="shared" si="8"/>
        <v>0</v>
      </c>
      <c r="Q79" s="54" t="str">
        <f t="shared" ref="Q79" si="371">IF(G79="","",+$G79*$P79)</f>
        <v/>
      </c>
      <c r="R79" s="59" t="str">
        <f t="shared" si="10"/>
        <v/>
      </c>
      <c r="S79" s="51"/>
    </row>
    <row r="80" spans="1:19" s="44" customFormat="1">
      <c r="A80" s="15"/>
      <c r="B80" s="56"/>
      <c r="C80" s="18" t="str">
        <f>IF(B80="","",VLOOKUP(B80,'Tabla de proceso'!$B$6:$G$25,2,))</f>
        <v/>
      </c>
      <c r="D80" s="17" t="str">
        <f>IF(B80="","",VLOOKUP(B80,'Tabla de proceso'!$B$5:$G$25,3,0))</f>
        <v/>
      </c>
      <c r="E80" s="13" t="str">
        <f t="shared" ref="E80" si="372">D80</f>
        <v/>
      </c>
      <c r="F80" s="13" t="str">
        <f t="shared" ref="F80" si="373">IF(E80="","",+$E80/9)</f>
        <v/>
      </c>
      <c r="G80" s="13" t="str">
        <f t="shared" ref="G80" si="374">IF(E80="","",($E80/60)/9)</f>
        <v/>
      </c>
      <c r="H80" s="13" t="e">
        <f t="shared" si="3"/>
        <v>#VALUE!</v>
      </c>
      <c r="I80" s="47"/>
      <c r="J80" s="16">
        <f t="shared" ref="J80" si="375">+WEEKNUM(I80)</f>
        <v>0</v>
      </c>
      <c r="K80" s="45" t="str">
        <f t="shared" si="5"/>
        <v>sábado</v>
      </c>
      <c r="L80" s="48"/>
      <c r="M80" s="50"/>
      <c r="N80" s="52">
        <f t="shared" si="6"/>
        <v>0</v>
      </c>
      <c r="O80" s="52">
        <f t="shared" si="7"/>
        <v>0</v>
      </c>
      <c r="P80" s="53">
        <f t="shared" si="8"/>
        <v>0</v>
      </c>
      <c r="Q80" s="54" t="str">
        <f t="shared" ref="Q80" si="376">IF(G80="","",+$G80*$P80)</f>
        <v/>
      </c>
      <c r="R80" s="59" t="str">
        <f t="shared" si="10"/>
        <v/>
      </c>
      <c r="S80" s="51"/>
    </row>
    <row r="81" spans="1:19" s="44" customFormat="1">
      <c r="A81" s="15"/>
      <c r="B81" s="56"/>
      <c r="C81" s="18" t="str">
        <f>IF(B81="","",VLOOKUP(B81,'Tabla de proceso'!$B$6:$G$25,2,))</f>
        <v/>
      </c>
      <c r="D81" s="17" t="str">
        <f>IF(B81="","",VLOOKUP(B81,'Tabla de proceso'!$B$5:$G$25,3,0))</f>
        <v/>
      </c>
      <c r="E81" s="13" t="str">
        <f t="shared" ref="E81" si="377">D81</f>
        <v/>
      </c>
      <c r="F81" s="13" t="str">
        <f t="shared" ref="F81" si="378">IF(E81="","",+$E81/9)</f>
        <v/>
      </c>
      <c r="G81" s="13" t="str">
        <f t="shared" ref="G81" si="379">IF(E81="","",($E81/60)/9)</f>
        <v/>
      </c>
      <c r="H81" s="13" t="e">
        <f t="shared" si="3"/>
        <v>#VALUE!</v>
      </c>
      <c r="I81" s="47"/>
      <c r="J81" s="16">
        <f t="shared" ref="J81" si="380">+WEEKNUM(I81)</f>
        <v>0</v>
      </c>
      <c r="K81" s="45" t="str">
        <f t="shared" si="5"/>
        <v>sábado</v>
      </c>
      <c r="L81" s="48"/>
      <c r="M81" s="50"/>
      <c r="N81" s="52">
        <f t="shared" si="6"/>
        <v>0</v>
      </c>
      <c r="O81" s="52">
        <f t="shared" si="7"/>
        <v>0</v>
      </c>
      <c r="P81" s="53">
        <f t="shared" si="8"/>
        <v>0</v>
      </c>
      <c r="Q81" s="54" t="str">
        <f t="shared" ref="Q81" si="381">IF(G81="","",+$G81*$P81)</f>
        <v/>
      </c>
      <c r="R81" s="59" t="str">
        <f t="shared" si="10"/>
        <v/>
      </c>
      <c r="S81" s="51"/>
    </row>
    <row r="82" spans="1:19" s="44" customFormat="1">
      <c r="A82" s="15"/>
      <c r="B82" s="56"/>
      <c r="C82" s="18" t="str">
        <f>IF(B82="","",VLOOKUP(B82,'Tabla de proceso'!$B$6:$G$25,2,))</f>
        <v/>
      </c>
      <c r="D82" s="17" t="str">
        <f>IF(B82="","",VLOOKUP(B82,'Tabla de proceso'!$B$5:$G$25,3,0))</f>
        <v/>
      </c>
      <c r="E82" s="13" t="str">
        <f t="shared" ref="E82" si="382">D82</f>
        <v/>
      </c>
      <c r="F82" s="13" t="str">
        <f t="shared" ref="F82" si="383">IF(E82="","",+$E82/9)</f>
        <v/>
      </c>
      <c r="G82" s="13" t="str">
        <f t="shared" ref="G82" si="384">IF(E82="","",($E82/60)/9)</f>
        <v/>
      </c>
      <c r="H82" s="13" t="e">
        <f t="shared" si="3"/>
        <v>#VALUE!</v>
      </c>
      <c r="I82" s="47"/>
      <c r="J82" s="16">
        <f t="shared" ref="J82" si="385">+WEEKNUM(I82)</f>
        <v>0</v>
      </c>
      <c r="K82" s="45" t="str">
        <f t="shared" si="5"/>
        <v>sábado</v>
      </c>
      <c r="L82" s="48"/>
      <c r="M82" s="50"/>
      <c r="N82" s="52">
        <f t="shared" si="6"/>
        <v>0</v>
      </c>
      <c r="O82" s="52">
        <f t="shared" si="7"/>
        <v>0</v>
      </c>
      <c r="P82" s="53">
        <f t="shared" si="8"/>
        <v>0</v>
      </c>
      <c r="Q82" s="54" t="str">
        <f t="shared" ref="Q82" si="386">IF(G82="","",+$G82*$P82)</f>
        <v/>
      </c>
      <c r="R82" s="59" t="str">
        <f t="shared" si="10"/>
        <v/>
      </c>
      <c r="S82" s="51"/>
    </row>
    <row r="83" spans="1:19" s="44" customFormat="1">
      <c r="A83" s="15"/>
      <c r="B83" s="56"/>
      <c r="C83" s="18" t="str">
        <f>IF(B83="","",VLOOKUP(B83,'Tabla de proceso'!$B$6:$G$25,2,))</f>
        <v/>
      </c>
      <c r="D83" s="17" t="str">
        <f>IF(B83="","",VLOOKUP(B83,'Tabla de proceso'!$B$5:$G$25,3,0))</f>
        <v/>
      </c>
      <c r="E83" s="13" t="str">
        <f t="shared" ref="E83" si="387">D83</f>
        <v/>
      </c>
      <c r="F83" s="13" t="str">
        <f t="shared" ref="F83" si="388">IF(E83="","",+$E83/9)</f>
        <v/>
      </c>
      <c r="G83" s="13" t="str">
        <f t="shared" ref="G83" si="389">IF(E83="","",($E83/60)/9)</f>
        <v/>
      </c>
      <c r="H83" s="13" t="e">
        <f t="shared" si="3"/>
        <v>#VALUE!</v>
      </c>
      <c r="I83" s="47"/>
      <c r="J83" s="16">
        <f t="shared" ref="J83" si="390">+WEEKNUM(I83)</f>
        <v>0</v>
      </c>
      <c r="K83" s="45" t="str">
        <f t="shared" si="5"/>
        <v>sábado</v>
      </c>
      <c r="L83" s="48"/>
      <c r="M83" s="50"/>
      <c r="N83" s="52">
        <f t="shared" si="6"/>
        <v>0</v>
      </c>
      <c r="O83" s="52">
        <f t="shared" si="7"/>
        <v>0</v>
      </c>
      <c r="P83" s="53">
        <f t="shared" si="8"/>
        <v>0</v>
      </c>
      <c r="Q83" s="54" t="str">
        <f t="shared" ref="Q83" si="391">IF(G83="","",+$G83*$P83)</f>
        <v/>
      </c>
      <c r="R83" s="59" t="str">
        <f t="shared" si="10"/>
        <v/>
      </c>
      <c r="S83" s="51"/>
    </row>
    <row r="84" spans="1:19" s="44" customFormat="1">
      <c r="A84" s="15"/>
      <c r="B84" s="56"/>
      <c r="C84" s="18" t="str">
        <f>IF(B84="","",VLOOKUP(B84,'Tabla de proceso'!$B$6:$G$25,2,))</f>
        <v/>
      </c>
      <c r="D84" s="17" t="str">
        <f>IF(B84="","",VLOOKUP(B84,'Tabla de proceso'!$B$5:$G$25,3,0))</f>
        <v/>
      </c>
      <c r="E84" s="13" t="str">
        <f t="shared" ref="E84" si="392">D84</f>
        <v/>
      </c>
      <c r="F84" s="13" t="str">
        <f t="shared" ref="F84" si="393">IF(E84="","",+$E84/9)</f>
        <v/>
      </c>
      <c r="G84" s="13" t="str">
        <f t="shared" ref="G84" si="394">IF(E84="","",($E84/60)/9)</f>
        <v/>
      </c>
      <c r="H84" s="13" t="e">
        <f t="shared" si="3"/>
        <v>#VALUE!</v>
      </c>
      <c r="I84" s="47"/>
      <c r="J84" s="16">
        <f t="shared" ref="J84" si="395">+WEEKNUM(I84)</f>
        <v>0</v>
      </c>
      <c r="K84" s="45" t="str">
        <f t="shared" si="5"/>
        <v>sábado</v>
      </c>
      <c r="L84" s="48"/>
      <c r="M84" s="50"/>
      <c r="N84" s="52">
        <f t="shared" si="6"/>
        <v>0</v>
      </c>
      <c r="O84" s="52">
        <f t="shared" si="7"/>
        <v>0</v>
      </c>
      <c r="P84" s="53">
        <f t="shared" si="8"/>
        <v>0</v>
      </c>
      <c r="Q84" s="54" t="str">
        <f t="shared" ref="Q84" si="396">IF(G84="","",+$G84*$P84)</f>
        <v/>
      </c>
      <c r="R84" s="59" t="str">
        <f t="shared" si="10"/>
        <v/>
      </c>
      <c r="S84" s="51"/>
    </row>
    <row r="85" spans="1:19" s="44" customFormat="1">
      <c r="A85" s="15"/>
      <c r="B85" s="56"/>
      <c r="C85" s="18" t="str">
        <f>IF(B85="","",VLOOKUP(B85,'Tabla de proceso'!$B$6:$G$25,2,))</f>
        <v/>
      </c>
      <c r="D85" s="17" t="str">
        <f>IF(B85="","",VLOOKUP(B85,'Tabla de proceso'!$B$5:$G$25,3,0))</f>
        <v/>
      </c>
      <c r="E85" s="13" t="str">
        <f t="shared" ref="E85" si="397">D85</f>
        <v/>
      </c>
      <c r="F85" s="13" t="str">
        <f t="shared" ref="F85" si="398">IF(E85="","",+$E85/9)</f>
        <v/>
      </c>
      <c r="G85" s="13" t="str">
        <f t="shared" ref="G85" si="399">IF(E85="","",($E85/60)/9)</f>
        <v/>
      </c>
      <c r="H85" s="13" t="e">
        <f t="shared" si="3"/>
        <v>#VALUE!</v>
      </c>
      <c r="I85" s="47"/>
      <c r="J85" s="16">
        <f t="shared" ref="J85" si="400">+WEEKNUM(I85)</f>
        <v>0</v>
      </c>
      <c r="K85" s="45" t="str">
        <f t="shared" si="5"/>
        <v>sábado</v>
      </c>
      <c r="L85" s="48"/>
      <c r="M85" s="50"/>
      <c r="N85" s="52">
        <f t="shared" si="6"/>
        <v>0</v>
      </c>
      <c r="O85" s="52">
        <f t="shared" si="7"/>
        <v>0</v>
      </c>
      <c r="P85" s="53">
        <f t="shared" si="8"/>
        <v>0</v>
      </c>
      <c r="Q85" s="54" t="str">
        <f t="shared" ref="Q85" si="401">IF(G85="","",+$G85*$P85)</f>
        <v/>
      </c>
      <c r="R85" s="59" t="str">
        <f t="shared" si="10"/>
        <v/>
      </c>
      <c r="S85" s="51"/>
    </row>
    <row r="86" spans="1:19" s="44" customFormat="1">
      <c r="A86" s="15"/>
      <c r="B86" s="56"/>
      <c r="C86" s="18" t="str">
        <f>IF(B86="","",VLOOKUP(B86,'Tabla de proceso'!$B$6:$G$25,2,))</f>
        <v/>
      </c>
      <c r="D86" s="17" t="str">
        <f>IF(B86="","",VLOOKUP(B86,'Tabla de proceso'!$B$5:$G$25,3,0))</f>
        <v/>
      </c>
      <c r="E86" s="13" t="str">
        <f t="shared" ref="E86" si="402">D86</f>
        <v/>
      </c>
      <c r="F86" s="13" t="str">
        <f t="shared" ref="F86" si="403">IF(E86="","",+$E86/9)</f>
        <v/>
      </c>
      <c r="G86" s="13" t="str">
        <f t="shared" ref="G86" si="404">IF(E86="","",($E86/60)/9)</f>
        <v/>
      </c>
      <c r="H86" s="13" t="e">
        <f t="shared" si="3"/>
        <v>#VALUE!</v>
      </c>
      <c r="I86" s="47"/>
      <c r="J86" s="16">
        <f t="shared" ref="J86" si="405">+WEEKNUM(I86)</f>
        <v>0</v>
      </c>
      <c r="K86" s="45" t="str">
        <f t="shared" si="5"/>
        <v>sábado</v>
      </c>
      <c r="L86" s="48"/>
      <c r="M86" s="50"/>
      <c r="N86" s="52">
        <f t="shared" si="6"/>
        <v>0</v>
      </c>
      <c r="O86" s="52">
        <f t="shared" si="7"/>
        <v>0</v>
      </c>
      <c r="P86" s="53">
        <f t="shared" si="8"/>
        <v>0</v>
      </c>
      <c r="Q86" s="54" t="str">
        <f t="shared" ref="Q86" si="406">IF(G86="","",+$G86*$P86)</f>
        <v/>
      </c>
      <c r="R86" s="59" t="str">
        <f t="shared" si="10"/>
        <v/>
      </c>
      <c r="S86" s="51"/>
    </row>
    <row r="87" spans="1:19" s="44" customFormat="1">
      <c r="A87" s="15"/>
      <c r="B87" s="56"/>
      <c r="C87" s="18" t="str">
        <f>IF(B87="","",VLOOKUP(B87,'Tabla de proceso'!$B$6:$G$25,2,))</f>
        <v/>
      </c>
      <c r="D87" s="17" t="str">
        <f>IF(B87="","",VLOOKUP(B87,'Tabla de proceso'!$B$5:$G$25,3,0))</f>
        <v/>
      </c>
      <c r="E87" s="13" t="str">
        <f t="shared" ref="E87" si="407">D87</f>
        <v/>
      </c>
      <c r="F87" s="13" t="str">
        <f t="shared" ref="F87" si="408">IF(E87="","",+$E87/9)</f>
        <v/>
      </c>
      <c r="G87" s="13" t="str">
        <f t="shared" ref="G87" si="409">IF(E87="","",($E87/60)/9)</f>
        <v/>
      </c>
      <c r="H87" s="13" t="e">
        <f t="shared" si="3"/>
        <v>#VALUE!</v>
      </c>
      <c r="I87" s="47"/>
      <c r="J87" s="16">
        <f t="shared" ref="J87" si="410">+WEEKNUM(I87)</f>
        <v>0</v>
      </c>
      <c r="K87" s="45" t="str">
        <f t="shared" si="5"/>
        <v>sábado</v>
      </c>
      <c r="L87" s="48"/>
      <c r="M87" s="50"/>
      <c r="N87" s="52">
        <f t="shared" si="6"/>
        <v>0</v>
      </c>
      <c r="O87" s="52">
        <f t="shared" si="7"/>
        <v>0</v>
      </c>
      <c r="P87" s="53">
        <f t="shared" si="8"/>
        <v>0</v>
      </c>
      <c r="Q87" s="54" t="str">
        <f t="shared" ref="Q87" si="411">IF(G87="","",+$G87*$P87)</f>
        <v/>
      </c>
      <c r="R87" s="59" t="str">
        <f t="shared" si="10"/>
        <v/>
      </c>
      <c r="S87" s="51"/>
    </row>
    <row r="88" spans="1:19" s="44" customFormat="1">
      <c r="A88" s="15"/>
      <c r="B88" s="56"/>
      <c r="C88" s="18" t="str">
        <f>IF(B88="","",VLOOKUP(B88,'Tabla de proceso'!$B$6:$G$25,2,))</f>
        <v/>
      </c>
      <c r="D88" s="17" t="str">
        <f>IF(B88="","",VLOOKUP(B88,'Tabla de proceso'!$B$5:$G$25,3,0))</f>
        <v/>
      </c>
      <c r="E88" s="13" t="str">
        <f t="shared" ref="E88" si="412">D88</f>
        <v/>
      </c>
      <c r="F88" s="13" t="str">
        <f t="shared" ref="F88" si="413">IF(E88="","",+$E88/9)</f>
        <v/>
      </c>
      <c r="G88" s="13" t="str">
        <f t="shared" ref="G88" si="414">IF(E88="","",($E88/60)/9)</f>
        <v/>
      </c>
      <c r="H88" s="13" t="e">
        <f t="shared" si="3"/>
        <v>#VALUE!</v>
      </c>
      <c r="I88" s="47"/>
      <c r="J88" s="16">
        <f t="shared" ref="J88" si="415">+WEEKNUM(I88)</f>
        <v>0</v>
      </c>
      <c r="K88" s="45" t="str">
        <f t="shared" si="5"/>
        <v>sábado</v>
      </c>
      <c r="L88" s="48"/>
      <c r="M88" s="50"/>
      <c r="N88" s="52">
        <f t="shared" si="6"/>
        <v>0</v>
      </c>
      <c r="O88" s="52">
        <f t="shared" si="7"/>
        <v>0</v>
      </c>
      <c r="P88" s="53">
        <f t="shared" si="8"/>
        <v>0</v>
      </c>
      <c r="Q88" s="54" t="str">
        <f t="shared" ref="Q88" si="416">IF(G88="","",+$G88*$P88)</f>
        <v/>
      </c>
      <c r="R88" s="59" t="str">
        <f t="shared" si="10"/>
        <v/>
      </c>
      <c r="S88" s="51"/>
    </row>
    <row r="89" spans="1:19" s="44" customFormat="1">
      <c r="A89" s="15"/>
      <c r="B89" s="56"/>
      <c r="C89" s="18" t="str">
        <f>IF(B89="","",VLOOKUP(B89,'Tabla de proceso'!$B$6:$G$25,2,))</f>
        <v/>
      </c>
      <c r="D89" s="17" t="str">
        <f>IF(B89="","",VLOOKUP(B89,'Tabla de proceso'!$B$5:$G$25,3,0))</f>
        <v/>
      </c>
      <c r="E89" s="13" t="str">
        <f t="shared" ref="E89" si="417">D89</f>
        <v/>
      </c>
      <c r="F89" s="13" t="str">
        <f t="shared" ref="F89" si="418">IF(E89="","",+$E89/9)</f>
        <v/>
      </c>
      <c r="G89" s="13" t="str">
        <f t="shared" ref="G89" si="419">IF(E89="","",($E89/60)/9)</f>
        <v/>
      </c>
      <c r="H89" s="13" t="e">
        <f t="shared" si="3"/>
        <v>#VALUE!</v>
      </c>
      <c r="I89" s="47"/>
      <c r="J89" s="16">
        <f t="shared" ref="J89" si="420">+WEEKNUM(I89)</f>
        <v>0</v>
      </c>
      <c r="K89" s="45" t="str">
        <f t="shared" si="5"/>
        <v>sábado</v>
      </c>
      <c r="L89" s="48"/>
      <c r="M89" s="50"/>
      <c r="N89" s="52">
        <f t="shared" si="6"/>
        <v>0</v>
      </c>
      <c r="O89" s="52">
        <f t="shared" si="7"/>
        <v>0</v>
      </c>
      <c r="P89" s="53">
        <f t="shared" si="8"/>
        <v>0</v>
      </c>
      <c r="Q89" s="54" t="str">
        <f t="shared" ref="Q89" si="421">IF(G89="","",+$G89*$P89)</f>
        <v/>
      </c>
      <c r="R89" s="59" t="str">
        <f t="shared" si="10"/>
        <v/>
      </c>
      <c r="S89" s="51"/>
    </row>
    <row r="90" spans="1:19" s="44" customFormat="1">
      <c r="A90" s="15"/>
      <c r="B90" s="56"/>
      <c r="C90" s="18" t="str">
        <f>IF(B90="","",VLOOKUP(B90,'Tabla de proceso'!$B$6:$G$25,2,))</f>
        <v/>
      </c>
      <c r="D90" s="17" t="str">
        <f>IF(B90="","",VLOOKUP(B90,'Tabla de proceso'!$B$5:$G$25,3,0))</f>
        <v/>
      </c>
      <c r="E90" s="13" t="str">
        <f t="shared" ref="E90" si="422">D90</f>
        <v/>
      </c>
      <c r="F90" s="13" t="str">
        <f t="shared" ref="F90" si="423">IF(E90="","",+$E90/9)</f>
        <v/>
      </c>
      <c r="G90" s="13" t="str">
        <f t="shared" ref="G90" si="424">IF(E90="","",($E90/60)/9)</f>
        <v/>
      </c>
      <c r="H90" s="13" t="e">
        <f t="shared" si="3"/>
        <v>#VALUE!</v>
      </c>
      <c r="I90" s="47"/>
      <c r="J90" s="16">
        <f t="shared" ref="J90:J91" si="425">+WEEKNUM(I90)</f>
        <v>0</v>
      </c>
      <c r="K90" s="45" t="str">
        <f t="shared" si="5"/>
        <v>sábado</v>
      </c>
      <c r="L90" s="48"/>
      <c r="M90" s="50"/>
      <c r="N90" s="52">
        <f t="shared" si="6"/>
        <v>0</v>
      </c>
      <c r="O90" s="52">
        <f t="shared" si="7"/>
        <v>0</v>
      </c>
      <c r="P90" s="53">
        <f t="shared" si="8"/>
        <v>0</v>
      </c>
      <c r="Q90" s="54" t="str">
        <f t="shared" ref="Q90:Q91" si="426">IF(G90="","",+$G90*$P90)</f>
        <v/>
      </c>
      <c r="R90" s="59" t="str">
        <f t="shared" si="10"/>
        <v/>
      </c>
      <c r="S90" s="51"/>
    </row>
    <row r="91" spans="1:19" s="44" customFormat="1">
      <c r="A91" s="15"/>
      <c r="B91" s="56"/>
      <c r="C91" s="18" t="str">
        <f>IF(B91="","",VLOOKUP(B91,'Tabla de proceso'!$B$6:$G$25,2,))</f>
        <v/>
      </c>
      <c r="D91" s="17"/>
      <c r="E91" s="13"/>
      <c r="F91" s="13"/>
      <c r="G91" s="13"/>
      <c r="H91" s="13"/>
      <c r="I91" s="47"/>
      <c r="J91" s="16">
        <f t="shared" si="425"/>
        <v>0</v>
      </c>
      <c r="K91" s="45" t="str">
        <f t="shared" si="5"/>
        <v>sábado</v>
      </c>
      <c r="L91" s="48"/>
      <c r="M91" s="50"/>
      <c r="N91" s="52">
        <f t="shared" si="6"/>
        <v>0</v>
      </c>
      <c r="O91" s="52">
        <f t="shared" si="7"/>
        <v>0</v>
      </c>
      <c r="P91" s="53">
        <f t="shared" si="8"/>
        <v>0</v>
      </c>
      <c r="Q91" s="54" t="str">
        <f t="shared" si="426"/>
        <v/>
      </c>
      <c r="R91" s="59" t="str">
        <f t="shared" si="10"/>
        <v/>
      </c>
      <c r="S91" s="51"/>
    </row>
    <row r="92" spans="1:19" s="44" customFormat="1">
      <c r="A92" s="15"/>
      <c r="B92" s="56"/>
      <c r="C92" s="18" t="str">
        <f>IF(B92="","",VLOOKUP(B92,'Tabla de proceso'!$B$6:$G$25,2,))</f>
        <v/>
      </c>
      <c r="D92" s="17" t="str">
        <f>IF(B92="","",VLOOKUP(B92,'Tabla de proceso'!$B$5:$G$25,3,0))</f>
        <v/>
      </c>
      <c r="E92" s="13" t="str">
        <f t="shared" ref="E92" si="427">D92</f>
        <v/>
      </c>
      <c r="F92" s="13" t="str">
        <f t="shared" ref="F92" si="428">IF(E92="","",+$E92/9)</f>
        <v/>
      </c>
      <c r="G92" s="13" t="str">
        <f t="shared" ref="G92" si="429">IF(E92="","",($E92/60)/9)</f>
        <v/>
      </c>
      <c r="H92" s="13" t="e">
        <f t="shared" si="3"/>
        <v>#VALUE!</v>
      </c>
      <c r="I92" s="47"/>
      <c r="J92" s="16">
        <f t="shared" ref="J92" si="430">+WEEKNUM(I92)</f>
        <v>0</v>
      </c>
      <c r="K92" s="45" t="str">
        <f t="shared" si="5"/>
        <v>sábado</v>
      </c>
      <c r="L92" s="48"/>
      <c r="M92" s="50"/>
      <c r="N92" s="52">
        <f t="shared" si="6"/>
        <v>0</v>
      </c>
      <c r="O92" s="52">
        <f t="shared" si="7"/>
        <v>0</v>
      </c>
      <c r="P92" s="53">
        <f t="shared" si="8"/>
        <v>0</v>
      </c>
      <c r="Q92" s="54" t="str">
        <f t="shared" ref="Q92" si="431">IF(G92="","",+$G92*$P92)</f>
        <v/>
      </c>
      <c r="R92" s="59" t="str">
        <f t="shared" si="10"/>
        <v/>
      </c>
      <c r="S92" s="51"/>
    </row>
    <row r="93" spans="1:19" s="44" customFormat="1">
      <c r="A93" s="15"/>
      <c r="B93" s="56"/>
      <c r="C93" s="18" t="str">
        <f>IF(B93="","",VLOOKUP(B93,'Tabla de proceso'!$B$6:$G$25,2,))</f>
        <v/>
      </c>
      <c r="D93" s="17" t="str">
        <f>IF(B93="","",VLOOKUP(B93,'Tabla de proceso'!$B$5:$G$25,3,0))</f>
        <v/>
      </c>
      <c r="E93" s="13" t="str">
        <f t="shared" ref="E93" si="432">D93</f>
        <v/>
      </c>
      <c r="F93" s="13" t="str">
        <f t="shared" ref="F93" si="433">IF(E93="","",+$E93/9)</f>
        <v/>
      </c>
      <c r="G93" s="13" t="str">
        <f t="shared" ref="G93" si="434">IF(E93="","",($E93/60)/9)</f>
        <v/>
      </c>
      <c r="H93" s="13" t="e">
        <f t="shared" si="3"/>
        <v>#VALUE!</v>
      </c>
      <c r="I93" s="47"/>
      <c r="J93" s="16">
        <f t="shared" ref="J93" si="435">+WEEKNUM(I93)</f>
        <v>0</v>
      </c>
      <c r="K93" s="45" t="str">
        <f t="shared" si="5"/>
        <v>sábado</v>
      </c>
      <c r="L93" s="48"/>
      <c r="M93" s="50"/>
      <c r="N93" s="52">
        <f t="shared" si="6"/>
        <v>0</v>
      </c>
      <c r="O93" s="52">
        <f t="shared" si="7"/>
        <v>0</v>
      </c>
      <c r="P93" s="53">
        <f t="shared" si="8"/>
        <v>0</v>
      </c>
      <c r="Q93" s="54" t="str">
        <f t="shared" ref="Q93" si="436">IF(G93="","",+$G93*$P93)</f>
        <v/>
      </c>
      <c r="R93" s="59" t="str">
        <f t="shared" si="10"/>
        <v/>
      </c>
      <c r="S93" s="51"/>
    </row>
    <row r="94" spans="1:19" s="44" customFormat="1">
      <c r="A94" s="15"/>
      <c r="B94" s="56"/>
      <c r="C94" s="18" t="str">
        <f>IF(B94="","",VLOOKUP(B94,'Tabla de proceso'!$B$6:$G$25,2,))</f>
        <v/>
      </c>
      <c r="D94" s="17" t="str">
        <f>IF(B94="","",VLOOKUP(B94,'Tabla de proceso'!$B$5:$G$25,3,0))</f>
        <v/>
      </c>
      <c r="E94" s="13" t="str">
        <f t="shared" ref="E94" si="437">D94</f>
        <v/>
      </c>
      <c r="F94" s="13" t="str">
        <f t="shared" ref="F94" si="438">IF(E94="","",+$E94/9)</f>
        <v/>
      </c>
      <c r="G94" s="13" t="str">
        <f t="shared" ref="G94" si="439">IF(E94="","",($E94/60)/9)</f>
        <v/>
      </c>
      <c r="H94" s="13" t="e">
        <f t="shared" si="3"/>
        <v>#VALUE!</v>
      </c>
      <c r="I94" s="47"/>
      <c r="J94" s="16">
        <f t="shared" ref="J94" si="440">+WEEKNUM(I94)</f>
        <v>0</v>
      </c>
      <c r="K94" s="45" t="str">
        <f t="shared" si="5"/>
        <v>sábado</v>
      </c>
      <c r="L94" s="48"/>
      <c r="M94" s="50"/>
      <c r="N94" s="52">
        <f t="shared" si="6"/>
        <v>0</v>
      </c>
      <c r="O94" s="52">
        <f t="shared" si="7"/>
        <v>0</v>
      </c>
      <c r="P94" s="53">
        <f t="shared" si="8"/>
        <v>0</v>
      </c>
      <c r="Q94" s="54" t="str">
        <f t="shared" ref="Q94" si="441">IF(G94="","",+$G94*$P94)</f>
        <v/>
      </c>
      <c r="R94" s="59" t="str">
        <f t="shared" si="10"/>
        <v/>
      </c>
      <c r="S94" s="51"/>
    </row>
    <row r="95" spans="1:19" s="44" customFormat="1">
      <c r="A95" s="15"/>
      <c r="B95" s="56"/>
      <c r="C95" s="18" t="str">
        <f>IF(B95="","",VLOOKUP(B95,'Tabla de proceso'!$B$6:$G$25,2,))</f>
        <v/>
      </c>
      <c r="D95" s="17" t="str">
        <f>IF(B95="","",VLOOKUP(B95,'Tabla de proceso'!$B$5:$G$25,3,0))</f>
        <v/>
      </c>
      <c r="E95" s="13" t="str">
        <f t="shared" ref="E95" si="442">D95</f>
        <v/>
      </c>
      <c r="F95" s="13" t="str">
        <f t="shared" ref="F95" si="443">IF(E95="","",+$E95/9)</f>
        <v/>
      </c>
      <c r="G95" s="13" t="str">
        <f t="shared" ref="G95" si="444">IF(E95="","",($E95/60)/9)</f>
        <v/>
      </c>
      <c r="H95" s="13" t="e">
        <f t="shared" si="3"/>
        <v>#VALUE!</v>
      </c>
      <c r="I95" s="47"/>
      <c r="J95" s="16">
        <f t="shared" ref="J95" si="445">+WEEKNUM(I95)</f>
        <v>0</v>
      </c>
      <c r="K95" s="45" t="str">
        <f t="shared" si="5"/>
        <v>sábado</v>
      </c>
      <c r="L95" s="48"/>
      <c r="M95" s="50"/>
      <c r="N95" s="52">
        <f t="shared" si="6"/>
        <v>0</v>
      </c>
      <c r="O95" s="52">
        <f t="shared" si="7"/>
        <v>0</v>
      </c>
      <c r="P95" s="53">
        <f t="shared" si="8"/>
        <v>0</v>
      </c>
      <c r="Q95" s="54" t="str">
        <f t="shared" ref="Q95" si="446">IF(G95="","",+$G95*$P95)</f>
        <v/>
      </c>
      <c r="R95" s="59" t="str">
        <f t="shared" si="10"/>
        <v/>
      </c>
      <c r="S95" s="51"/>
    </row>
    <row r="96" spans="1:19" s="44" customFormat="1">
      <c r="A96" s="15"/>
      <c r="B96" s="56"/>
      <c r="C96" s="18" t="str">
        <f>IF(B96="","",VLOOKUP(B96,'Tabla de proceso'!$B$6:$G$25,2,))</f>
        <v/>
      </c>
      <c r="D96" s="17" t="str">
        <f>IF(B96="","",VLOOKUP(B96,'Tabla de proceso'!$B$5:$G$25,3,0))</f>
        <v/>
      </c>
      <c r="E96" s="13" t="str">
        <f t="shared" ref="E96" si="447">D96</f>
        <v/>
      </c>
      <c r="F96" s="13" t="str">
        <f t="shared" ref="F96" si="448">IF(E96="","",+$E96/9)</f>
        <v/>
      </c>
      <c r="G96" s="13" t="str">
        <f t="shared" ref="G96" si="449">IF(E96="","",($E96/60)/9)</f>
        <v/>
      </c>
      <c r="H96" s="13" t="e">
        <f t="shared" si="3"/>
        <v>#VALUE!</v>
      </c>
      <c r="I96" s="47"/>
      <c r="J96" s="16">
        <f t="shared" ref="J96" si="450">+WEEKNUM(I96)</f>
        <v>0</v>
      </c>
      <c r="K96" s="45" t="str">
        <f t="shared" si="5"/>
        <v>sábado</v>
      </c>
      <c r="L96" s="48"/>
      <c r="M96" s="50"/>
      <c r="N96" s="52">
        <f t="shared" si="6"/>
        <v>0</v>
      </c>
      <c r="O96" s="52">
        <f t="shared" si="7"/>
        <v>0</v>
      </c>
      <c r="P96" s="53">
        <f t="shared" si="8"/>
        <v>0</v>
      </c>
      <c r="Q96" s="54" t="str">
        <f t="shared" ref="Q96" si="451">IF(G96="","",+$G96*$P96)</f>
        <v/>
      </c>
      <c r="R96" s="59" t="str">
        <f t="shared" si="10"/>
        <v/>
      </c>
      <c r="S96" s="51"/>
    </row>
    <row r="97" spans="1:19" s="44" customFormat="1">
      <c r="A97" s="15"/>
      <c r="B97" s="56"/>
      <c r="C97" s="18" t="str">
        <f>IF(B97="","",VLOOKUP(B97,'Tabla de proceso'!$B$6:$G$25,2,))</f>
        <v/>
      </c>
      <c r="D97" s="17" t="str">
        <f>IF(B97="","",VLOOKUP(B97,'Tabla de proceso'!$B$5:$G$25,3,0))</f>
        <v/>
      </c>
      <c r="E97" s="13" t="str">
        <f t="shared" ref="E97" si="452">D97</f>
        <v/>
      </c>
      <c r="F97" s="13" t="str">
        <f t="shared" ref="F97" si="453">IF(E97="","",+$E97/9)</f>
        <v/>
      </c>
      <c r="G97" s="13" t="str">
        <f t="shared" ref="G97" si="454">IF(E97="","",($E97/60)/9)</f>
        <v/>
      </c>
      <c r="H97" s="13" t="e">
        <f t="shared" si="3"/>
        <v>#VALUE!</v>
      </c>
      <c r="I97" s="47"/>
      <c r="J97" s="16">
        <f t="shared" ref="J97" si="455">+WEEKNUM(I97)</f>
        <v>0</v>
      </c>
      <c r="K97" s="45" t="str">
        <f t="shared" si="5"/>
        <v>sábado</v>
      </c>
      <c r="L97" s="48"/>
      <c r="M97" s="50"/>
      <c r="N97" s="52">
        <f t="shared" si="6"/>
        <v>0</v>
      </c>
      <c r="O97" s="52">
        <f t="shared" si="7"/>
        <v>0</v>
      </c>
      <c r="P97" s="53">
        <f t="shared" si="8"/>
        <v>0</v>
      </c>
      <c r="Q97" s="54" t="str">
        <f t="shared" ref="Q97" si="456">IF(G97="","",+$G97*$P97)</f>
        <v/>
      </c>
      <c r="R97" s="59" t="str">
        <f t="shared" si="10"/>
        <v/>
      </c>
      <c r="S97" s="51"/>
    </row>
    <row r="98" spans="1:19" s="44" customFormat="1">
      <c r="A98" s="15"/>
      <c r="B98" s="56"/>
      <c r="C98" s="18" t="str">
        <f>IF(B98="","",VLOOKUP(B98,'Tabla de proceso'!$B$6:$G$25,2,))</f>
        <v/>
      </c>
      <c r="D98" s="17" t="str">
        <f>IF(B98="","",VLOOKUP(B98,'Tabla de proceso'!$B$5:$G$25,3,0))</f>
        <v/>
      </c>
      <c r="E98" s="13" t="str">
        <f t="shared" ref="E98" si="457">D98</f>
        <v/>
      </c>
      <c r="F98" s="13" t="str">
        <f t="shared" ref="F98" si="458">IF(E98="","",+$E98/9)</f>
        <v/>
      </c>
      <c r="G98" s="13" t="str">
        <f t="shared" ref="G98" si="459">IF(E98="","",($E98/60)/9)</f>
        <v/>
      </c>
      <c r="H98" s="13" t="e">
        <f t="shared" si="3"/>
        <v>#VALUE!</v>
      </c>
      <c r="I98" s="47"/>
      <c r="J98" s="16">
        <f t="shared" ref="J98" si="460">+WEEKNUM(I98)</f>
        <v>0</v>
      </c>
      <c r="K98" s="45" t="str">
        <f t="shared" si="5"/>
        <v>sábado</v>
      </c>
      <c r="L98" s="48"/>
      <c r="M98" s="50"/>
      <c r="N98" s="52">
        <f t="shared" si="6"/>
        <v>0</v>
      </c>
      <c r="O98" s="52">
        <f t="shared" si="7"/>
        <v>0</v>
      </c>
      <c r="P98" s="53">
        <f t="shared" si="8"/>
        <v>0</v>
      </c>
      <c r="Q98" s="54" t="str">
        <f t="shared" ref="Q98" si="461">IF(G98="","",+$G98*$P98)</f>
        <v/>
      </c>
      <c r="R98" s="59" t="str">
        <f t="shared" si="10"/>
        <v/>
      </c>
      <c r="S98" s="51"/>
    </row>
    <row r="99" spans="1:19" s="44" customFormat="1">
      <c r="A99" s="15"/>
      <c r="B99" s="56"/>
      <c r="C99" s="18" t="str">
        <f>IF(B99="","",VLOOKUP(B99,'Tabla de proceso'!$B$6:$G$25,2,))</f>
        <v/>
      </c>
      <c r="D99" s="17" t="str">
        <f>IF(B99="","",VLOOKUP(B99,'Tabla de proceso'!$B$5:$G$25,3,0))</f>
        <v/>
      </c>
      <c r="E99" s="13" t="str">
        <f t="shared" ref="E99" si="462">D99</f>
        <v/>
      </c>
      <c r="F99" s="13" t="str">
        <f t="shared" ref="F99" si="463">IF(E99="","",+$E99/9)</f>
        <v/>
      </c>
      <c r="G99" s="13" t="str">
        <f t="shared" ref="G99" si="464">IF(E99="","",($E99/60)/9)</f>
        <v/>
      </c>
      <c r="H99" s="13" t="e">
        <f t="shared" si="3"/>
        <v>#VALUE!</v>
      </c>
      <c r="I99" s="47"/>
      <c r="J99" s="16">
        <f t="shared" ref="J99" si="465">+WEEKNUM(I99)</f>
        <v>0</v>
      </c>
      <c r="K99" s="45" t="str">
        <f t="shared" si="5"/>
        <v>sábado</v>
      </c>
      <c r="L99" s="48"/>
      <c r="M99" s="50"/>
      <c r="N99" s="52">
        <f t="shared" si="6"/>
        <v>0</v>
      </c>
      <c r="O99" s="52">
        <f t="shared" si="7"/>
        <v>0</v>
      </c>
      <c r="P99" s="53">
        <f t="shared" si="8"/>
        <v>0</v>
      </c>
      <c r="Q99" s="54" t="str">
        <f t="shared" ref="Q99" si="466">IF(G99="","",+$G99*$P99)</f>
        <v/>
      </c>
      <c r="R99" s="59" t="str">
        <f t="shared" si="10"/>
        <v/>
      </c>
      <c r="S99" s="51"/>
    </row>
    <row r="100" spans="1:19" s="44" customFormat="1">
      <c r="A100" s="15"/>
      <c r="B100" s="56"/>
      <c r="C100" s="18" t="str">
        <f>IF(B100="","",VLOOKUP(B100,'Tabla de proceso'!$B$6:$G$25,2,))</f>
        <v/>
      </c>
      <c r="D100" s="17" t="str">
        <f>IF(B100="","",VLOOKUP(B100,'Tabla de proceso'!$B$5:$G$25,3,0))</f>
        <v/>
      </c>
      <c r="E100" s="13" t="str">
        <f t="shared" ref="E100" si="467">D100</f>
        <v/>
      </c>
      <c r="F100" s="13" t="str">
        <f t="shared" ref="F100" si="468">IF(E100="","",+$E100/9)</f>
        <v/>
      </c>
      <c r="G100" s="13" t="str">
        <f t="shared" ref="G100" si="469">IF(E100="","",($E100/60)/9)</f>
        <v/>
      </c>
      <c r="H100" s="13" t="e">
        <f t="shared" si="3"/>
        <v>#VALUE!</v>
      </c>
      <c r="I100" s="47"/>
      <c r="J100" s="16">
        <f t="shared" ref="J100" si="470">+WEEKNUM(I100)</f>
        <v>0</v>
      </c>
      <c r="K100" s="45" t="str">
        <f t="shared" si="5"/>
        <v>sábado</v>
      </c>
      <c r="L100" s="48"/>
      <c r="M100" s="50"/>
      <c r="N100" s="52">
        <f t="shared" si="6"/>
        <v>0</v>
      </c>
      <c r="O100" s="52">
        <f t="shared" si="7"/>
        <v>0</v>
      </c>
      <c r="P100" s="53">
        <f t="shared" si="8"/>
        <v>0</v>
      </c>
      <c r="Q100" s="54" t="str">
        <f t="shared" ref="Q100" si="471">IF(G100="","",+$G100*$P100)</f>
        <v/>
      </c>
      <c r="R100" s="59" t="str">
        <f t="shared" si="10"/>
        <v/>
      </c>
      <c r="S100" s="51"/>
    </row>
    <row r="101" spans="1:19" s="44" customFormat="1">
      <c r="A101" s="15"/>
      <c r="B101" s="56"/>
      <c r="C101" s="18" t="str">
        <f>IF(B101="","",VLOOKUP(B101,'Tabla de proceso'!$B$6:$G$25,2,))</f>
        <v/>
      </c>
      <c r="D101" s="17" t="str">
        <f>IF(B101="","",VLOOKUP(B101,'Tabla de proceso'!$B$5:$G$25,3,0))</f>
        <v/>
      </c>
      <c r="E101" s="13" t="str">
        <f t="shared" ref="E101" si="472">D101</f>
        <v/>
      </c>
      <c r="F101" s="13" t="str">
        <f t="shared" ref="F101" si="473">IF(E101="","",+$E101/9)</f>
        <v/>
      </c>
      <c r="G101" s="13" t="str">
        <f t="shared" ref="G101" si="474">IF(E101="","",($E101/60)/9)</f>
        <v/>
      </c>
      <c r="H101" s="13" t="e">
        <f t="shared" si="3"/>
        <v>#VALUE!</v>
      </c>
      <c r="I101" s="47"/>
      <c r="J101" s="16">
        <f t="shared" ref="J101" si="475">+WEEKNUM(I101)</f>
        <v>0</v>
      </c>
      <c r="K101" s="45" t="str">
        <f t="shared" si="5"/>
        <v>sábado</v>
      </c>
      <c r="L101" s="48"/>
      <c r="M101" s="50"/>
      <c r="N101" s="52">
        <f t="shared" si="6"/>
        <v>0</v>
      </c>
      <c r="O101" s="52">
        <f t="shared" si="7"/>
        <v>0</v>
      </c>
      <c r="P101" s="53">
        <f t="shared" si="8"/>
        <v>0</v>
      </c>
      <c r="Q101" s="54" t="str">
        <f t="shared" ref="Q101" si="476">IF(G101="","",+$G101*$P101)</f>
        <v/>
      </c>
      <c r="R101" s="59" t="str">
        <f t="shared" si="10"/>
        <v/>
      </c>
      <c r="S101" s="51"/>
    </row>
    <row r="102" spans="1:19" s="44" customFormat="1">
      <c r="A102" s="15"/>
      <c r="B102" s="56"/>
      <c r="C102" s="18" t="str">
        <f>IF(B102="","",VLOOKUP(B102,'Tabla de proceso'!$B$6:$G$25,2,))</f>
        <v/>
      </c>
      <c r="D102" s="17" t="str">
        <f>IF(B102="","",VLOOKUP(B102,'Tabla de proceso'!$B$5:$G$25,3,0))</f>
        <v/>
      </c>
      <c r="E102" s="13" t="str">
        <f t="shared" ref="E102" si="477">D102</f>
        <v/>
      </c>
      <c r="F102" s="13" t="str">
        <f t="shared" ref="F102" si="478">IF(E102="","",+$E102/9)</f>
        <v/>
      </c>
      <c r="G102" s="13" t="str">
        <f t="shared" ref="G102" si="479">IF(E102="","",($E102/60)/9)</f>
        <v/>
      </c>
      <c r="H102" s="13" t="e">
        <f t="shared" si="3"/>
        <v>#VALUE!</v>
      </c>
      <c r="I102" s="47"/>
      <c r="J102" s="16">
        <f t="shared" ref="J102" si="480">+WEEKNUM(I102)</f>
        <v>0</v>
      </c>
      <c r="K102" s="45" t="str">
        <f t="shared" si="5"/>
        <v>sábado</v>
      </c>
      <c r="L102" s="48"/>
      <c r="M102" s="50"/>
      <c r="N102" s="52">
        <f t="shared" si="6"/>
        <v>0</v>
      </c>
      <c r="O102" s="52">
        <f t="shared" si="7"/>
        <v>0</v>
      </c>
      <c r="P102" s="53">
        <f t="shared" si="8"/>
        <v>0</v>
      </c>
      <c r="Q102" s="54" t="str">
        <f t="shared" ref="Q102" si="481">IF(G102="","",+$G102*$P102)</f>
        <v/>
      </c>
      <c r="R102" s="59" t="str">
        <f t="shared" si="10"/>
        <v/>
      </c>
      <c r="S102" s="51"/>
    </row>
    <row r="103" spans="1:19" s="44" customFormat="1">
      <c r="A103" s="15"/>
      <c r="B103" s="56"/>
      <c r="C103" s="18" t="str">
        <f>IF(B103="","",VLOOKUP(B103,'Tabla de proceso'!$B$6:$G$25,2,))</f>
        <v/>
      </c>
      <c r="D103" s="17" t="str">
        <f>IF(B103="","",VLOOKUP(B103,'Tabla de proceso'!$B$5:$G$25,3,0))</f>
        <v/>
      </c>
      <c r="E103" s="13" t="str">
        <f t="shared" ref="E103" si="482">D103</f>
        <v/>
      </c>
      <c r="F103" s="13" t="str">
        <f t="shared" ref="F103" si="483">IF(E103="","",+$E103/9)</f>
        <v/>
      </c>
      <c r="G103" s="13" t="str">
        <f t="shared" ref="G103" si="484">IF(E103="","",($E103/60)/9)</f>
        <v/>
      </c>
      <c r="H103" s="13" t="e">
        <f t="shared" si="3"/>
        <v>#VALUE!</v>
      </c>
      <c r="I103" s="47"/>
      <c r="J103" s="16">
        <f t="shared" ref="J103" si="485">+WEEKNUM(I103)</f>
        <v>0</v>
      </c>
      <c r="K103" s="45" t="str">
        <f t="shared" si="5"/>
        <v>sábado</v>
      </c>
      <c r="L103" s="48"/>
      <c r="M103" s="50"/>
      <c r="N103" s="52">
        <f t="shared" si="6"/>
        <v>0</v>
      </c>
      <c r="O103" s="52">
        <f t="shared" si="7"/>
        <v>0</v>
      </c>
      <c r="P103" s="53">
        <f t="shared" si="8"/>
        <v>0</v>
      </c>
      <c r="Q103" s="54" t="str">
        <f t="shared" ref="Q103" si="486">IF(G103="","",+$G103*$P103)</f>
        <v/>
      </c>
      <c r="R103" s="59" t="str">
        <f t="shared" si="10"/>
        <v/>
      </c>
      <c r="S103" s="51"/>
    </row>
    <row r="104" spans="1:19" s="44" customFormat="1">
      <c r="A104" s="15"/>
      <c r="B104" s="56"/>
      <c r="C104" s="18" t="str">
        <f>IF(B104="","",VLOOKUP(B104,'Tabla de proceso'!$B$6:$G$25,2,))</f>
        <v/>
      </c>
      <c r="D104" s="17" t="str">
        <f>IF(B104="","",VLOOKUP(B104,'Tabla de proceso'!$B$5:$G$25,3,0))</f>
        <v/>
      </c>
      <c r="E104" s="13" t="str">
        <f t="shared" ref="E104" si="487">D104</f>
        <v/>
      </c>
      <c r="F104" s="13" t="str">
        <f t="shared" ref="F104" si="488">IF(E104="","",+$E104/9)</f>
        <v/>
      </c>
      <c r="G104" s="13" t="str">
        <f t="shared" ref="G104" si="489">IF(E104="","",($E104/60)/9)</f>
        <v/>
      </c>
      <c r="H104" s="13" t="e">
        <f t="shared" si="3"/>
        <v>#VALUE!</v>
      </c>
      <c r="I104" s="47"/>
      <c r="J104" s="16">
        <f t="shared" ref="J104" si="490">+WEEKNUM(I104)</f>
        <v>0</v>
      </c>
      <c r="K104" s="45" t="str">
        <f t="shared" si="5"/>
        <v>sábado</v>
      </c>
      <c r="L104" s="48"/>
      <c r="M104" s="50"/>
      <c r="N104" s="52">
        <f t="shared" si="6"/>
        <v>0</v>
      </c>
      <c r="O104" s="52">
        <f t="shared" si="7"/>
        <v>0</v>
      </c>
      <c r="P104" s="53">
        <f t="shared" si="8"/>
        <v>0</v>
      </c>
      <c r="Q104" s="54" t="str">
        <f t="shared" ref="Q104" si="491">IF(G104="","",+$G104*$P104)</f>
        <v/>
      </c>
      <c r="R104" s="59" t="str">
        <f t="shared" si="10"/>
        <v/>
      </c>
      <c r="S104" s="51"/>
    </row>
    <row r="105" spans="1:19" s="44" customFormat="1">
      <c r="A105" s="15"/>
      <c r="B105" s="56"/>
      <c r="C105" s="18" t="str">
        <f>IF(B105="","",VLOOKUP(B105,'Tabla de proceso'!$B$6:$G$25,2,))</f>
        <v/>
      </c>
      <c r="D105" s="17" t="str">
        <f>IF(B105="","",VLOOKUP(B105,'Tabla de proceso'!$B$5:$G$25,3,0))</f>
        <v/>
      </c>
      <c r="E105" s="13" t="str">
        <f t="shared" ref="E105" si="492">D105</f>
        <v/>
      </c>
      <c r="F105" s="13" t="str">
        <f t="shared" ref="F105" si="493">IF(E105="","",+$E105/9)</f>
        <v/>
      </c>
      <c r="G105" s="13" t="str">
        <f t="shared" ref="G105" si="494">IF(E105="","",($E105/60)/9)</f>
        <v/>
      </c>
      <c r="H105" s="13" t="e">
        <f t="shared" si="3"/>
        <v>#VALUE!</v>
      </c>
      <c r="I105" s="47"/>
      <c r="J105" s="16">
        <f t="shared" ref="J105" si="495">+WEEKNUM(I105)</f>
        <v>0</v>
      </c>
      <c r="K105" s="45" t="str">
        <f t="shared" si="5"/>
        <v>sábado</v>
      </c>
      <c r="L105" s="49"/>
      <c r="M105" s="50"/>
      <c r="N105" s="52">
        <f t="shared" si="6"/>
        <v>0</v>
      </c>
      <c r="O105" s="52">
        <f t="shared" si="7"/>
        <v>0</v>
      </c>
      <c r="P105" s="53">
        <f t="shared" si="8"/>
        <v>0</v>
      </c>
      <c r="Q105" s="54" t="str">
        <f t="shared" ref="Q105" si="496">IF(G105="","",+$G105*$P105)</f>
        <v/>
      </c>
      <c r="R105" s="59" t="str">
        <f t="shared" si="10"/>
        <v/>
      </c>
      <c r="S105" s="51"/>
    </row>
    <row r="106" spans="1:19" s="44" customFormat="1">
      <c r="A106" s="15"/>
      <c r="B106" s="56"/>
      <c r="C106" s="18" t="str">
        <f>IF(B106="","",VLOOKUP(B106,'Tabla de proceso'!$B$6:$G$25,2,))</f>
        <v/>
      </c>
      <c r="D106" s="17" t="str">
        <f>IF(B106="","",VLOOKUP(B106,'Tabla de proceso'!$B$5:$G$25,3,0))</f>
        <v/>
      </c>
      <c r="E106" s="13" t="str">
        <f t="shared" ref="E106" si="497">D106</f>
        <v/>
      </c>
      <c r="F106" s="13" t="str">
        <f t="shared" ref="F106" si="498">IF(E106="","",+$E106/9)</f>
        <v/>
      </c>
      <c r="G106" s="13" t="str">
        <f t="shared" ref="G106" si="499">IF(E106="","",($E106/60)/9)</f>
        <v/>
      </c>
      <c r="H106" s="13" t="e">
        <f t="shared" si="3"/>
        <v>#VALUE!</v>
      </c>
      <c r="I106" s="47"/>
      <c r="J106" s="16">
        <f t="shared" ref="J106" si="500">+WEEKNUM(I106)</f>
        <v>0</v>
      </c>
      <c r="K106" s="45" t="str">
        <f t="shared" si="5"/>
        <v>sábado</v>
      </c>
      <c r="L106" s="48"/>
      <c r="M106" s="50"/>
      <c r="N106" s="52">
        <f t="shared" si="6"/>
        <v>0</v>
      </c>
      <c r="O106" s="52">
        <f t="shared" si="7"/>
        <v>0</v>
      </c>
      <c r="P106" s="53">
        <f t="shared" si="8"/>
        <v>0</v>
      </c>
      <c r="Q106" s="54" t="str">
        <f t="shared" ref="Q106" si="501">IF(G106="","",+$G106*$P106)</f>
        <v/>
      </c>
      <c r="R106" s="59" t="str">
        <f t="shared" si="10"/>
        <v/>
      </c>
      <c r="S106" s="51"/>
    </row>
    <row r="107" spans="1:19" s="44" customFormat="1">
      <c r="A107" s="15"/>
      <c r="B107" s="56"/>
      <c r="C107" s="18" t="str">
        <f>IF(B107="","",VLOOKUP(B107,'Tabla de proceso'!$B$6:$G$25,2,))</f>
        <v/>
      </c>
      <c r="D107" s="17" t="str">
        <f>IF(B107="","",VLOOKUP(B107,'Tabla de proceso'!$B$5:$G$25,3,0))</f>
        <v/>
      </c>
      <c r="E107" s="13" t="str">
        <f t="shared" ref="E107" si="502">D107</f>
        <v/>
      </c>
      <c r="F107" s="13" t="str">
        <f t="shared" ref="F107" si="503">IF(E107="","",+$E107/9)</f>
        <v/>
      </c>
      <c r="G107" s="13" t="str">
        <f t="shared" ref="G107" si="504">IF(E107="","",($E107/60)/9)</f>
        <v/>
      </c>
      <c r="H107" s="13" t="e">
        <f t="shared" si="3"/>
        <v>#VALUE!</v>
      </c>
      <c r="I107" s="47"/>
      <c r="J107" s="16">
        <f t="shared" ref="J107" si="505">+WEEKNUM(I107)</f>
        <v>0</v>
      </c>
      <c r="K107" s="45" t="str">
        <f t="shared" si="5"/>
        <v>sábado</v>
      </c>
      <c r="L107" s="48"/>
      <c r="M107" s="50"/>
      <c r="N107" s="52">
        <f t="shared" si="6"/>
        <v>0</v>
      </c>
      <c r="O107" s="52">
        <f t="shared" si="7"/>
        <v>0</v>
      </c>
      <c r="P107" s="53">
        <f t="shared" si="8"/>
        <v>0</v>
      </c>
      <c r="Q107" s="54" t="str">
        <f t="shared" ref="Q107" si="506">IF(G107="","",+$G107*$P107)</f>
        <v/>
      </c>
      <c r="R107" s="59" t="str">
        <f t="shared" si="10"/>
        <v/>
      </c>
      <c r="S107" s="51"/>
    </row>
    <row r="108" spans="1:19" s="44" customFormat="1">
      <c r="A108" s="15"/>
      <c r="B108" s="56"/>
      <c r="C108" s="18" t="str">
        <f>IF(B108="","",VLOOKUP(B108,'Tabla de proceso'!$B$6:$G$25,2,))</f>
        <v/>
      </c>
      <c r="D108" s="17" t="str">
        <f>IF(B108="","",VLOOKUP(B108,'Tabla de proceso'!$B$5:$G$25,3,0))</f>
        <v/>
      </c>
      <c r="E108" s="13" t="str">
        <f t="shared" ref="E108" si="507">D108</f>
        <v/>
      </c>
      <c r="F108" s="13" t="str">
        <f t="shared" ref="F108" si="508">IF(E108="","",+$E108/9)</f>
        <v/>
      </c>
      <c r="G108" s="13" t="str">
        <f t="shared" ref="G108" si="509">IF(E108="","",($E108/60)/9)</f>
        <v/>
      </c>
      <c r="H108" s="13" t="e">
        <f t="shared" si="3"/>
        <v>#VALUE!</v>
      </c>
      <c r="I108" s="47"/>
      <c r="J108" s="16">
        <f t="shared" ref="J108" si="510">+WEEKNUM(I108)</f>
        <v>0</v>
      </c>
      <c r="K108" s="45" t="str">
        <f t="shared" si="5"/>
        <v>sábado</v>
      </c>
      <c r="L108" s="48"/>
      <c r="M108" s="50"/>
      <c r="N108" s="52">
        <f t="shared" si="6"/>
        <v>0</v>
      </c>
      <c r="O108" s="52">
        <f t="shared" si="7"/>
        <v>0</v>
      </c>
      <c r="P108" s="53">
        <f t="shared" si="8"/>
        <v>0</v>
      </c>
      <c r="Q108" s="54" t="str">
        <f t="shared" ref="Q108" si="511">IF(G108="","",+$G108*$P108)</f>
        <v/>
      </c>
      <c r="R108" s="59" t="str">
        <f t="shared" si="10"/>
        <v/>
      </c>
      <c r="S108" s="51"/>
    </row>
    <row r="109" spans="1:19" s="44" customFormat="1">
      <c r="A109" s="15"/>
      <c r="B109" s="56"/>
      <c r="C109" s="18" t="str">
        <f>IF(B109="","",VLOOKUP(B109,'Tabla de proceso'!$B$6:$G$25,2,))</f>
        <v/>
      </c>
      <c r="D109" s="17" t="str">
        <f>IF(B109="","",VLOOKUP(B109,'Tabla de proceso'!$B$5:$G$25,3,0))</f>
        <v/>
      </c>
      <c r="E109" s="13" t="str">
        <f t="shared" ref="E109" si="512">D109</f>
        <v/>
      </c>
      <c r="F109" s="13" t="str">
        <f t="shared" ref="F109" si="513">IF(E109="","",+$E109/9)</f>
        <v/>
      </c>
      <c r="G109" s="13" t="str">
        <f t="shared" ref="G109" si="514">IF(E109="","",($E109/60)/9)</f>
        <v/>
      </c>
      <c r="H109" s="13" t="e">
        <f t="shared" si="3"/>
        <v>#VALUE!</v>
      </c>
      <c r="I109" s="47"/>
      <c r="J109" s="16">
        <f t="shared" ref="J109" si="515">+WEEKNUM(I109)</f>
        <v>0</v>
      </c>
      <c r="K109" s="45" t="str">
        <f t="shared" si="5"/>
        <v>sábado</v>
      </c>
      <c r="L109" s="48"/>
      <c r="M109" s="50"/>
      <c r="N109" s="52">
        <f t="shared" si="6"/>
        <v>0</v>
      </c>
      <c r="O109" s="52">
        <f t="shared" si="7"/>
        <v>0</v>
      </c>
      <c r="P109" s="53">
        <f t="shared" si="8"/>
        <v>0</v>
      </c>
      <c r="Q109" s="54" t="str">
        <f t="shared" ref="Q109" si="516">IF(G109="","",+$G109*$P109)</f>
        <v/>
      </c>
      <c r="R109" s="59" t="str">
        <f t="shared" si="10"/>
        <v/>
      </c>
      <c r="S109" s="51"/>
    </row>
    <row r="110" spans="1:19" s="44" customFormat="1">
      <c r="A110" s="15"/>
      <c r="B110" s="56"/>
      <c r="C110" s="18" t="str">
        <f>IF(B110="","",VLOOKUP(B110,'Tabla de proceso'!$B$6:$G$25,2,))</f>
        <v/>
      </c>
      <c r="D110" s="17" t="str">
        <f>IF(B110="","",VLOOKUP(B110,'Tabla de proceso'!$B$5:$G$25,3,0))</f>
        <v/>
      </c>
      <c r="E110" s="13" t="str">
        <f t="shared" ref="E110" si="517">D110</f>
        <v/>
      </c>
      <c r="F110" s="13" t="str">
        <f t="shared" ref="F110" si="518">IF(E110="","",+$E110/9)</f>
        <v/>
      </c>
      <c r="G110" s="13" t="str">
        <f t="shared" ref="G110" si="519">IF(E110="","",($E110/60)/9)</f>
        <v/>
      </c>
      <c r="H110" s="13" t="e">
        <f t="shared" si="3"/>
        <v>#VALUE!</v>
      </c>
      <c r="I110" s="47"/>
      <c r="J110" s="16">
        <f t="shared" ref="J110" si="520">+WEEKNUM(I110)</f>
        <v>0</v>
      </c>
      <c r="K110" s="45" t="str">
        <f t="shared" si="5"/>
        <v>sábado</v>
      </c>
      <c r="L110" s="48"/>
      <c r="M110" s="50"/>
      <c r="N110" s="52">
        <f t="shared" si="6"/>
        <v>0</v>
      </c>
      <c r="O110" s="52">
        <f t="shared" si="7"/>
        <v>0</v>
      </c>
      <c r="P110" s="53">
        <f t="shared" si="8"/>
        <v>0</v>
      </c>
      <c r="Q110" s="54" t="str">
        <f t="shared" ref="Q110" si="521">IF(G110="","",+$G110*$P110)</f>
        <v/>
      </c>
      <c r="R110" s="59" t="str">
        <f t="shared" si="10"/>
        <v/>
      </c>
      <c r="S110" s="51"/>
    </row>
    <row r="111" spans="1:19" s="44" customFormat="1">
      <c r="A111" s="15"/>
      <c r="B111" s="56"/>
      <c r="C111" s="18" t="str">
        <f>IF(B111="","",VLOOKUP(B111,'Tabla de proceso'!$B$6:$G$25,2,))</f>
        <v/>
      </c>
      <c r="D111" s="17" t="str">
        <f>IF(B111="","",VLOOKUP(B111,'Tabla de proceso'!$B$5:$G$25,3,0))</f>
        <v/>
      </c>
      <c r="E111" s="13" t="str">
        <f t="shared" ref="E111" si="522">D111</f>
        <v/>
      </c>
      <c r="F111" s="13" t="str">
        <f t="shared" ref="F111" si="523">IF(E111="","",+$E111/9)</f>
        <v/>
      </c>
      <c r="G111" s="13" t="str">
        <f t="shared" ref="G111" si="524">IF(E111="","",($E111/60)/9)</f>
        <v/>
      </c>
      <c r="H111" s="13" t="e">
        <f t="shared" si="3"/>
        <v>#VALUE!</v>
      </c>
      <c r="I111" s="47"/>
      <c r="J111" s="16">
        <f t="shared" ref="J111" si="525">+WEEKNUM(I111)</f>
        <v>0</v>
      </c>
      <c r="K111" s="45" t="str">
        <f t="shared" si="5"/>
        <v>sábado</v>
      </c>
      <c r="L111" s="48"/>
      <c r="M111" s="50"/>
      <c r="N111" s="52">
        <f t="shared" si="6"/>
        <v>0</v>
      </c>
      <c r="O111" s="52">
        <f t="shared" si="7"/>
        <v>0</v>
      </c>
      <c r="P111" s="53">
        <f t="shared" si="8"/>
        <v>0</v>
      </c>
      <c r="Q111" s="54" t="str">
        <f t="shared" ref="Q111" si="526">IF(G111="","",+$G111*$P111)</f>
        <v/>
      </c>
      <c r="R111" s="59" t="str">
        <f t="shared" si="10"/>
        <v/>
      </c>
      <c r="S111" s="51"/>
    </row>
    <row r="112" spans="1:19" s="44" customFormat="1">
      <c r="A112" s="15"/>
      <c r="B112" s="56"/>
      <c r="C112" s="18" t="str">
        <f>IF(B112="","",VLOOKUP(B112,'Tabla de proceso'!$B$6:$G$25,2,))</f>
        <v/>
      </c>
      <c r="D112" s="17" t="str">
        <f>IF(B112="","",VLOOKUP(B112,'Tabla de proceso'!$B$5:$G$25,3,0))</f>
        <v/>
      </c>
      <c r="E112" s="13" t="str">
        <f t="shared" ref="E112" si="527">D112</f>
        <v/>
      </c>
      <c r="F112" s="13" t="str">
        <f t="shared" ref="F112" si="528">IF(E112="","",+$E112/9)</f>
        <v/>
      </c>
      <c r="G112" s="13" t="str">
        <f t="shared" ref="G112" si="529">IF(E112="","",($E112/60)/9)</f>
        <v/>
      </c>
      <c r="H112" s="13" t="e">
        <f t="shared" si="3"/>
        <v>#VALUE!</v>
      </c>
      <c r="I112" s="47"/>
      <c r="J112" s="16">
        <f t="shared" ref="J112" si="530">+WEEKNUM(I112)</f>
        <v>0</v>
      </c>
      <c r="K112" s="45" t="str">
        <f t="shared" si="5"/>
        <v>sábado</v>
      </c>
      <c r="L112" s="48"/>
      <c r="M112" s="50"/>
      <c r="N112" s="52">
        <f t="shared" si="6"/>
        <v>0</v>
      </c>
      <c r="O112" s="52">
        <f t="shared" si="7"/>
        <v>0</v>
      </c>
      <c r="P112" s="53">
        <f t="shared" si="8"/>
        <v>0</v>
      </c>
      <c r="Q112" s="54" t="str">
        <f t="shared" ref="Q112" si="531">IF(G112="","",+$G112*$P112)</f>
        <v/>
      </c>
      <c r="R112" s="59" t="str">
        <f t="shared" si="10"/>
        <v/>
      </c>
      <c r="S112" s="51"/>
    </row>
    <row r="113" spans="1:19" s="44" customFormat="1">
      <c r="A113" s="15"/>
      <c r="B113" s="56"/>
      <c r="C113" s="18" t="str">
        <f>IF(B113="","",VLOOKUP(B113,'Tabla de proceso'!$B$6:$G$25,2,))</f>
        <v/>
      </c>
      <c r="D113" s="17" t="str">
        <f>IF(B113="","",VLOOKUP(B113,'Tabla de proceso'!$B$5:$G$25,3,0))</f>
        <v/>
      </c>
      <c r="E113" s="13" t="str">
        <f t="shared" ref="E113" si="532">D113</f>
        <v/>
      </c>
      <c r="F113" s="13" t="str">
        <f t="shared" ref="F113" si="533">IF(E113="","",+$E113/9)</f>
        <v/>
      </c>
      <c r="G113" s="13" t="str">
        <f t="shared" ref="G113" si="534">IF(E113="","",($E113/60)/9)</f>
        <v/>
      </c>
      <c r="H113" s="13" t="e">
        <f t="shared" si="3"/>
        <v>#VALUE!</v>
      </c>
      <c r="I113" s="47"/>
      <c r="J113" s="16">
        <f t="shared" ref="J113" si="535">+WEEKNUM(I113)</f>
        <v>0</v>
      </c>
      <c r="K113" s="45" t="str">
        <f t="shared" si="5"/>
        <v>sábado</v>
      </c>
      <c r="L113" s="48"/>
      <c r="M113" s="50"/>
      <c r="N113" s="52">
        <f t="shared" si="6"/>
        <v>0</v>
      </c>
      <c r="O113" s="52">
        <f t="shared" si="7"/>
        <v>0</v>
      </c>
      <c r="P113" s="53">
        <f t="shared" si="8"/>
        <v>0</v>
      </c>
      <c r="Q113" s="54" t="str">
        <f t="shared" ref="Q113" si="536">IF(G113="","",+$G113*$P113)</f>
        <v/>
      </c>
      <c r="R113" s="59" t="str">
        <f t="shared" si="10"/>
        <v/>
      </c>
      <c r="S113" s="51"/>
    </row>
    <row r="114" spans="1:19" s="44" customFormat="1">
      <c r="A114" s="15"/>
      <c r="B114" s="56"/>
      <c r="C114" s="18" t="str">
        <f>IF(B114="","",VLOOKUP(B114,'Tabla de proceso'!$B$6:$G$25,2,))</f>
        <v/>
      </c>
      <c r="D114" s="17" t="str">
        <f>IF(B114="","",VLOOKUP(B114,'Tabla de proceso'!$B$5:$G$25,3,0))</f>
        <v/>
      </c>
      <c r="E114" s="13" t="str">
        <f t="shared" ref="E114" si="537">D114</f>
        <v/>
      </c>
      <c r="F114" s="13" t="str">
        <f t="shared" ref="F114" si="538">IF(E114="","",+$E114/9)</f>
        <v/>
      </c>
      <c r="G114" s="13" t="str">
        <f t="shared" ref="G114" si="539">IF(E114="","",($E114/60)/9)</f>
        <v/>
      </c>
      <c r="H114" s="13" t="e">
        <f t="shared" si="3"/>
        <v>#VALUE!</v>
      </c>
      <c r="I114" s="47"/>
      <c r="J114" s="16">
        <f t="shared" ref="J114" si="540">+WEEKNUM(I114)</f>
        <v>0</v>
      </c>
      <c r="K114" s="45" t="str">
        <f t="shared" si="5"/>
        <v>sábado</v>
      </c>
      <c r="L114" s="48"/>
      <c r="M114" s="50"/>
      <c r="N114" s="52">
        <f t="shared" si="6"/>
        <v>0</v>
      </c>
      <c r="O114" s="52">
        <f t="shared" si="7"/>
        <v>0</v>
      </c>
      <c r="P114" s="53">
        <f t="shared" si="8"/>
        <v>0</v>
      </c>
      <c r="Q114" s="54" t="str">
        <f t="shared" ref="Q114" si="541">IF(G114="","",+$G114*$P114)</f>
        <v/>
      </c>
      <c r="R114" s="59" t="str">
        <f t="shared" si="10"/>
        <v/>
      </c>
      <c r="S114" s="51"/>
    </row>
    <row r="115" spans="1:19" s="44" customFormat="1">
      <c r="A115" s="15"/>
      <c r="B115" s="56"/>
      <c r="C115" s="18" t="str">
        <f>IF(B115="","",VLOOKUP(B115,'Tabla de proceso'!$B$6:$G$25,2,))</f>
        <v/>
      </c>
      <c r="D115" s="17" t="str">
        <f>IF(B115="","",VLOOKUP(B115,'Tabla de proceso'!$B$5:$G$25,3,0))</f>
        <v/>
      </c>
      <c r="E115" s="13" t="str">
        <f t="shared" ref="E115" si="542">D115</f>
        <v/>
      </c>
      <c r="F115" s="13" t="str">
        <f t="shared" ref="F115" si="543">IF(E115="","",+$E115/9)</f>
        <v/>
      </c>
      <c r="G115" s="13" t="str">
        <f t="shared" ref="G115" si="544">IF(E115="","",($E115/60)/9)</f>
        <v/>
      </c>
      <c r="H115" s="13" t="e">
        <f t="shared" si="3"/>
        <v>#VALUE!</v>
      </c>
      <c r="I115" s="47"/>
      <c r="J115" s="16">
        <f t="shared" ref="J115" si="545">+WEEKNUM(I115)</f>
        <v>0</v>
      </c>
      <c r="K115" s="45" t="str">
        <f t="shared" si="5"/>
        <v>sábado</v>
      </c>
      <c r="L115" s="48"/>
      <c r="M115" s="50"/>
      <c r="N115" s="52">
        <f t="shared" si="6"/>
        <v>0</v>
      </c>
      <c r="O115" s="52">
        <f t="shared" si="7"/>
        <v>0</v>
      </c>
      <c r="P115" s="53">
        <f t="shared" si="8"/>
        <v>0</v>
      </c>
      <c r="Q115" s="54" t="str">
        <f t="shared" ref="Q115" si="546">IF(G115="","",+$G115*$P115)</f>
        <v/>
      </c>
      <c r="R115" s="59" t="str">
        <f t="shared" si="10"/>
        <v/>
      </c>
      <c r="S115" s="51"/>
    </row>
    <row r="116" spans="1:19" s="44" customFormat="1">
      <c r="A116" s="15"/>
      <c r="B116" s="56"/>
      <c r="C116" s="18" t="str">
        <f>IF(B116="","",VLOOKUP(B116,'Tabla de proceso'!$B$6:$G$25,2,))</f>
        <v/>
      </c>
      <c r="D116" s="17" t="str">
        <f>IF(B116="","",VLOOKUP(B116,'Tabla de proceso'!$B$5:$G$25,3,0))</f>
        <v/>
      </c>
      <c r="E116" s="13" t="str">
        <f t="shared" ref="E116" si="547">D116</f>
        <v/>
      </c>
      <c r="F116" s="13" t="str">
        <f t="shared" ref="F116" si="548">IF(E116="","",+$E116/9)</f>
        <v/>
      </c>
      <c r="G116" s="13" t="str">
        <f t="shared" ref="G116" si="549">IF(E116="","",($E116/60)/9)</f>
        <v/>
      </c>
      <c r="H116" s="13" t="e">
        <f t="shared" si="3"/>
        <v>#VALUE!</v>
      </c>
      <c r="I116" s="47"/>
      <c r="J116" s="16">
        <f t="shared" ref="J116" si="550">+WEEKNUM(I116)</f>
        <v>0</v>
      </c>
      <c r="K116" s="45" t="str">
        <f t="shared" si="5"/>
        <v>sábado</v>
      </c>
      <c r="L116" s="48"/>
      <c r="M116" s="50"/>
      <c r="N116" s="52">
        <f t="shared" si="6"/>
        <v>0</v>
      </c>
      <c r="O116" s="52">
        <f t="shared" si="7"/>
        <v>0</v>
      </c>
      <c r="P116" s="53">
        <f t="shared" si="8"/>
        <v>0</v>
      </c>
      <c r="Q116" s="54" t="str">
        <f t="shared" ref="Q116" si="551">IF(G116="","",+$G116*$P116)</f>
        <v/>
      </c>
      <c r="R116" s="59" t="str">
        <f t="shared" si="10"/>
        <v/>
      </c>
      <c r="S116" s="51"/>
    </row>
    <row r="117" spans="1:19" s="44" customFormat="1">
      <c r="A117" s="15"/>
      <c r="B117" s="56"/>
      <c r="C117" s="18" t="str">
        <f>IF(B117="","",VLOOKUP(B117,'Tabla de proceso'!$B$6:$G$25,2,))</f>
        <v/>
      </c>
      <c r="D117" s="17" t="str">
        <f>IF(B117="","",VLOOKUP(B117,'Tabla de proceso'!$B$5:$G$25,3,0))</f>
        <v/>
      </c>
      <c r="E117" s="13" t="str">
        <f t="shared" ref="E117" si="552">D117</f>
        <v/>
      </c>
      <c r="F117" s="13" t="str">
        <f t="shared" ref="F117" si="553">IF(E117="","",+$E117/9)</f>
        <v/>
      </c>
      <c r="G117" s="13" t="str">
        <f t="shared" ref="G117" si="554">IF(E117="","",($E117/60)/9)</f>
        <v/>
      </c>
      <c r="H117" s="13" t="e">
        <f t="shared" si="3"/>
        <v>#VALUE!</v>
      </c>
      <c r="I117" s="47"/>
      <c r="J117" s="16">
        <f t="shared" ref="J117" si="555">+WEEKNUM(I117)</f>
        <v>0</v>
      </c>
      <c r="K117" s="45" t="str">
        <f t="shared" si="5"/>
        <v>sábado</v>
      </c>
      <c r="L117" s="48"/>
      <c r="M117" s="50"/>
      <c r="N117" s="52">
        <f t="shared" si="6"/>
        <v>0</v>
      </c>
      <c r="O117" s="52">
        <f t="shared" si="7"/>
        <v>0</v>
      </c>
      <c r="P117" s="53">
        <f t="shared" si="8"/>
        <v>0</v>
      </c>
      <c r="Q117" s="54" t="str">
        <f t="shared" ref="Q117" si="556">IF(G117="","",+$G117*$P117)</f>
        <v/>
      </c>
      <c r="R117" s="59" t="str">
        <f t="shared" si="10"/>
        <v/>
      </c>
      <c r="S117" s="51"/>
    </row>
    <row r="118" spans="1:19" s="44" customFormat="1">
      <c r="A118" s="15"/>
      <c r="B118" s="56"/>
      <c r="C118" s="18" t="str">
        <f>IF(B118="","",VLOOKUP(B118,'Tabla de proceso'!$B$6:$G$25,2,))</f>
        <v/>
      </c>
      <c r="D118" s="17" t="str">
        <f>IF(B118="","",VLOOKUP(B118,'Tabla de proceso'!$B$5:$G$25,3,0))</f>
        <v/>
      </c>
      <c r="E118" s="13" t="str">
        <f t="shared" ref="E118" si="557">D118</f>
        <v/>
      </c>
      <c r="F118" s="13" t="str">
        <f t="shared" ref="F118" si="558">IF(E118="","",+$E118/9)</f>
        <v/>
      </c>
      <c r="G118" s="13" t="str">
        <f t="shared" ref="G118" si="559">IF(E118="","",($E118/60)/9)</f>
        <v/>
      </c>
      <c r="H118" s="13" t="e">
        <f t="shared" si="3"/>
        <v>#VALUE!</v>
      </c>
      <c r="I118" s="47"/>
      <c r="J118" s="16">
        <f t="shared" ref="J118" si="560">+WEEKNUM(I118)</f>
        <v>0</v>
      </c>
      <c r="K118" s="45" t="str">
        <f t="shared" si="5"/>
        <v>sábado</v>
      </c>
      <c r="L118" s="48"/>
      <c r="M118" s="50"/>
      <c r="N118" s="52">
        <f t="shared" si="6"/>
        <v>0</v>
      </c>
      <c r="O118" s="52">
        <f t="shared" si="7"/>
        <v>0</v>
      </c>
      <c r="P118" s="53">
        <f t="shared" si="8"/>
        <v>0</v>
      </c>
      <c r="Q118" s="54" t="str">
        <f t="shared" ref="Q118" si="561">IF(G118="","",+$G118*$P118)</f>
        <v/>
      </c>
      <c r="R118" s="59" t="str">
        <f t="shared" si="10"/>
        <v/>
      </c>
      <c r="S118" s="51"/>
    </row>
    <row r="119" spans="1:19" s="44" customFormat="1">
      <c r="A119" s="15"/>
      <c r="B119" s="56"/>
      <c r="C119" s="18" t="str">
        <f>IF(B119="","",VLOOKUP(B119,'Tabla de proceso'!$B$6:$G$25,2,))</f>
        <v/>
      </c>
      <c r="D119" s="17" t="str">
        <f>IF(B119="","",VLOOKUP(B119,'Tabla de proceso'!$B$5:$G$25,3,0))</f>
        <v/>
      </c>
      <c r="E119" s="13" t="str">
        <f t="shared" ref="E119" si="562">D119</f>
        <v/>
      </c>
      <c r="F119" s="13" t="str">
        <f t="shared" ref="F119" si="563">IF(E119="","",+$E119/9)</f>
        <v/>
      </c>
      <c r="G119" s="13" t="str">
        <f t="shared" ref="G119" si="564">IF(E119="","",($E119/60)/9)</f>
        <v/>
      </c>
      <c r="H119" s="13" t="e">
        <f t="shared" si="3"/>
        <v>#VALUE!</v>
      </c>
      <c r="I119" s="47"/>
      <c r="J119" s="16">
        <f t="shared" ref="J119" si="565">+WEEKNUM(I119)</f>
        <v>0</v>
      </c>
      <c r="K119" s="45" t="str">
        <f t="shared" si="5"/>
        <v>sábado</v>
      </c>
      <c r="L119" s="48"/>
      <c r="M119" s="50"/>
      <c r="N119" s="52">
        <f t="shared" si="6"/>
        <v>0</v>
      </c>
      <c r="O119" s="52">
        <f t="shared" si="7"/>
        <v>0</v>
      </c>
      <c r="P119" s="53">
        <f t="shared" si="8"/>
        <v>0</v>
      </c>
      <c r="Q119" s="54" t="str">
        <f t="shared" ref="Q119" si="566">IF(G119="","",+$G119*$P119)</f>
        <v/>
      </c>
      <c r="R119" s="59" t="str">
        <f t="shared" si="10"/>
        <v/>
      </c>
      <c r="S119" s="51"/>
    </row>
    <row r="120" spans="1:19" s="44" customFormat="1">
      <c r="A120" s="15"/>
      <c r="B120" s="56"/>
      <c r="C120" s="18" t="str">
        <f>IF(B120="","",VLOOKUP(B120,'Tabla de proceso'!$B$6:$G$25,2,))</f>
        <v/>
      </c>
      <c r="D120" s="17" t="str">
        <f>IF(B120="","",VLOOKUP(B120,'Tabla de proceso'!$B$5:$G$25,3,0))</f>
        <v/>
      </c>
      <c r="E120" s="13" t="str">
        <f t="shared" ref="E120" si="567">D120</f>
        <v/>
      </c>
      <c r="F120" s="13" t="str">
        <f t="shared" ref="F120" si="568">IF(E120="","",+$E120/9)</f>
        <v/>
      </c>
      <c r="G120" s="13" t="str">
        <f t="shared" ref="G120" si="569">IF(E120="","",($E120/60)/9)</f>
        <v/>
      </c>
      <c r="H120" s="13" t="e">
        <f t="shared" si="3"/>
        <v>#VALUE!</v>
      </c>
      <c r="I120" s="47"/>
      <c r="J120" s="16">
        <f t="shared" ref="J120" si="570">+WEEKNUM(I120)</f>
        <v>0</v>
      </c>
      <c r="K120" s="45" t="str">
        <f t="shared" si="5"/>
        <v>sábado</v>
      </c>
      <c r="L120" s="48"/>
      <c r="M120" s="50"/>
      <c r="N120" s="52">
        <f t="shared" si="6"/>
        <v>0</v>
      </c>
      <c r="O120" s="52">
        <f t="shared" si="7"/>
        <v>0</v>
      </c>
      <c r="P120" s="53">
        <f t="shared" si="8"/>
        <v>0</v>
      </c>
      <c r="Q120" s="54" t="str">
        <f t="shared" ref="Q120" si="571">IF(G120="","",+$G120*$P120)</f>
        <v/>
      </c>
      <c r="R120" s="59" t="str">
        <f t="shared" si="10"/>
        <v/>
      </c>
      <c r="S120" s="51"/>
    </row>
    <row r="121" spans="1:19" s="44" customFormat="1">
      <c r="A121" s="15"/>
      <c r="B121" s="56"/>
      <c r="C121" s="18" t="str">
        <f>IF(B121="","",VLOOKUP(B121,'Tabla de proceso'!$B$6:$G$25,2,))</f>
        <v/>
      </c>
      <c r="D121" s="17" t="str">
        <f>IF(B121="","",VLOOKUP(B121,'Tabla de proceso'!$B$5:$G$25,3,0))</f>
        <v/>
      </c>
      <c r="E121" s="13" t="str">
        <f t="shared" ref="E121" si="572">D121</f>
        <v/>
      </c>
      <c r="F121" s="13" t="str">
        <f t="shared" ref="F121" si="573">IF(E121="","",+$E121/9)</f>
        <v/>
      </c>
      <c r="G121" s="13" t="str">
        <f t="shared" ref="G121" si="574">IF(E121="","",($E121/60)/9)</f>
        <v/>
      </c>
      <c r="H121" s="13" t="e">
        <f t="shared" si="3"/>
        <v>#VALUE!</v>
      </c>
      <c r="I121" s="47"/>
      <c r="J121" s="16">
        <f t="shared" ref="J121" si="575">+WEEKNUM(I121)</f>
        <v>0</v>
      </c>
      <c r="K121" s="45" t="str">
        <f t="shared" si="5"/>
        <v>sábado</v>
      </c>
      <c r="L121" s="48"/>
      <c r="M121" s="50"/>
      <c r="N121" s="52">
        <f t="shared" si="6"/>
        <v>0</v>
      </c>
      <c r="O121" s="52">
        <f t="shared" si="7"/>
        <v>0</v>
      </c>
      <c r="P121" s="53">
        <f t="shared" si="8"/>
        <v>0</v>
      </c>
      <c r="Q121" s="54" t="str">
        <f t="shared" ref="Q121" si="576">IF(G121="","",+$G121*$P121)</f>
        <v/>
      </c>
      <c r="R121" s="59" t="str">
        <f t="shared" si="10"/>
        <v/>
      </c>
      <c r="S121" s="51"/>
    </row>
    <row r="122" spans="1:19" s="44" customFormat="1">
      <c r="A122" s="15"/>
      <c r="B122" s="56"/>
      <c r="C122" s="18" t="str">
        <f>IF(B122="","",VLOOKUP(B122,'Tabla de proceso'!$B$6:$G$25,2,))</f>
        <v/>
      </c>
      <c r="D122" s="17" t="str">
        <f>IF(B122="","",VLOOKUP(B122,'Tabla de proceso'!$B$5:$G$25,3,0))</f>
        <v/>
      </c>
      <c r="E122" s="13" t="str">
        <f t="shared" ref="E122" si="577">D122</f>
        <v/>
      </c>
      <c r="F122" s="13" t="str">
        <f t="shared" ref="F122" si="578">IF(E122="","",+$E122/9)</f>
        <v/>
      </c>
      <c r="G122" s="13" t="str">
        <f t="shared" ref="G122" si="579">IF(E122="","",($E122/60)/9)</f>
        <v/>
      </c>
      <c r="H122" s="13" t="e">
        <f t="shared" si="3"/>
        <v>#VALUE!</v>
      </c>
      <c r="I122" s="47"/>
      <c r="J122" s="16">
        <f t="shared" ref="J122" si="580">+WEEKNUM(I122)</f>
        <v>0</v>
      </c>
      <c r="K122" s="45" t="str">
        <f t="shared" si="5"/>
        <v>sábado</v>
      </c>
      <c r="L122" s="48"/>
      <c r="M122" s="50"/>
      <c r="N122" s="52">
        <f t="shared" si="6"/>
        <v>0</v>
      </c>
      <c r="O122" s="52">
        <f t="shared" si="7"/>
        <v>0</v>
      </c>
      <c r="P122" s="53">
        <f t="shared" si="8"/>
        <v>0</v>
      </c>
      <c r="Q122" s="54" t="str">
        <f t="shared" ref="Q122" si="581">IF(G122="","",+$G122*$P122)</f>
        <v/>
      </c>
      <c r="R122" s="59" t="str">
        <f t="shared" si="10"/>
        <v/>
      </c>
      <c r="S122" s="51"/>
    </row>
    <row r="123" spans="1:19" s="44" customFormat="1">
      <c r="A123" s="15"/>
      <c r="B123" s="56"/>
      <c r="C123" s="18" t="str">
        <f>IF(B123="","",VLOOKUP(B123,'Tabla de proceso'!$B$6:$G$25,2,))</f>
        <v/>
      </c>
      <c r="D123" s="17" t="str">
        <f>IF(B123="","",VLOOKUP(B123,'Tabla de proceso'!$B$5:$G$25,3,0))</f>
        <v/>
      </c>
      <c r="E123" s="13" t="str">
        <f t="shared" ref="E123" si="582">D123</f>
        <v/>
      </c>
      <c r="F123" s="13" t="str">
        <f t="shared" ref="F123" si="583">IF(E123="","",+$E123/9)</f>
        <v/>
      </c>
      <c r="G123" s="13" t="str">
        <f t="shared" ref="G123" si="584">IF(E123="","",($E123/60)/9)</f>
        <v/>
      </c>
      <c r="H123" s="13" t="e">
        <f t="shared" si="3"/>
        <v>#VALUE!</v>
      </c>
      <c r="I123" s="47"/>
      <c r="J123" s="16">
        <f t="shared" ref="J123" si="585">+WEEKNUM(I123)</f>
        <v>0</v>
      </c>
      <c r="K123" s="45" t="str">
        <f t="shared" si="5"/>
        <v>sábado</v>
      </c>
      <c r="L123" s="48"/>
      <c r="M123" s="50"/>
      <c r="N123" s="52">
        <f t="shared" si="6"/>
        <v>0</v>
      </c>
      <c r="O123" s="52">
        <f t="shared" si="7"/>
        <v>0</v>
      </c>
      <c r="P123" s="53">
        <f t="shared" si="8"/>
        <v>0</v>
      </c>
      <c r="Q123" s="54" t="str">
        <f t="shared" ref="Q123" si="586">IF(G123="","",+$G123*$P123)</f>
        <v/>
      </c>
      <c r="R123" s="59" t="str">
        <f t="shared" si="10"/>
        <v/>
      </c>
      <c r="S123" s="51"/>
    </row>
    <row r="124" spans="1:19" s="44" customFormat="1">
      <c r="A124" s="15"/>
      <c r="B124" s="56"/>
      <c r="C124" s="18" t="str">
        <f>IF(B124="","",VLOOKUP(B124,'Tabla de proceso'!$B$6:$G$25,2,))</f>
        <v/>
      </c>
      <c r="D124" s="17" t="str">
        <f>IF(B124="","",VLOOKUP(B124,'Tabla de proceso'!$B$5:$G$25,3,0))</f>
        <v/>
      </c>
      <c r="E124" s="13" t="str">
        <f t="shared" ref="E124" si="587">D124</f>
        <v/>
      </c>
      <c r="F124" s="13" t="str">
        <f t="shared" ref="F124" si="588">IF(E124="","",+$E124/9)</f>
        <v/>
      </c>
      <c r="G124" s="13" t="str">
        <f t="shared" ref="G124" si="589">IF(E124="","",($E124/60)/9)</f>
        <v/>
      </c>
      <c r="H124" s="13" t="e">
        <f t="shared" si="3"/>
        <v>#VALUE!</v>
      </c>
      <c r="I124" s="47"/>
      <c r="J124" s="16">
        <f t="shared" ref="J124" si="590">+WEEKNUM(I124)</f>
        <v>0</v>
      </c>
      <c r="K124" s="45" t="str">
        <f t="shared" si="5"/>
        <v>sábado</v>
      </c>
      <c r="L124" s="48"/>
      <c r="M124" s="50"/>
      <c r="N124" s="52">
        <f t="shared" si="6"/>
        <v>0</v>
      </c>
      <c r="O124" s="52">
        <f t="shared" si="7"/>
        <v>0</v>
      </c>
      <c r="P124" s="53">
        <f t="shared" si="8"/>
        <v>0</v>
      </c>
      <c r="Q124" s="54" t="str">
        <f t="shared" ref="Q124" si="591">IF(G124="","",+$G124*$P124)</f>
        <v/>
      </c>
      <c r="R124" s="59" t="str">
        <f t="shared" si="10"/>
        <v/>
      </c>
      <c r="S124" s="51"/>
    </row>
    <row r="125" spans="1:19" s="44" customFormat="1">
      <c r="A125" s="15"/>
      <c r="B125" s="56"/>
      <c r="C125" s="18" t="str">
        <f>IF(B125="","",VLOOKUP(B125,'Tabla de proceso'!$B$6:$G$25,2,))</f>
        <v/>
      </c>
      <c r="D125" s="17" t="str">
        <f>IF(B125="","",VLOOKUP(B125,'Tabla de proceso'!$B$5:$G$25,3,0))</f>
        <v/>
      </c>
      <c r="E125" s="13" t="str">
        <f t="shared" ref="E125" si="592">D125</f>
        <v/>
      </c>
      <c r="F125" s="13" t="str">
        <f t="shared" ref="F125" si="593">IF(E125="","",+$E125/9)</f>
        <v/>
      </c>
      <c r="G125" s="13" t="str">
        <f t="shared" ref="G125" si="594">IF(E125="","",($E125/60)/9)</f>
        <v/>
      </c>
      <c r="H125" s="13" t="e">
        <f t="shared" si="3"/>
        <v>#VALUE!</v>
      </c>
      <c r="I125" s="47"/>
      <c r="J125" s="16">
        <f t="shared" ref="J125" si="595">+WEEKNUM(I125)</f>
        <v>0</v>
      </c>
      <c r="K125" s="45" t="str">
        <f t="shared" si="5"/>
        <v>sábado</v>
      </c>
      <c r="L125" s="48"/>
      <c r="M125" s="50"/>
      <c r="N125" s="52">
        <f t="shared" si="6"/>
        <v>0</v>
      </c>
      <c r="O125" s="52">
        <f t="shared" si="7"/>
        <v>0</v>
      </c>
      <c r="P125" s="53">
        <f t="shared" si="8"/>
        <v>0</v>
      </c>
      <c r="Q125" s="54" t="str">
        <f t="shared" ref="Q125" si="596">IF(G125="","",+$G125*$P125)</f>
        <v/>
      </c>
      <c r="R125" s="59" t="str">
        <f t="shared" si="10"/>
        <v/>
      </c>
      <c r="S125" s="51"/>
    </row>
    <row r="126" spans="1:19" s="44" customFormat="1">
      <c r="A126" s="15"/>
      <c r="B126" s="56"/>
      <c r="C126" s="18" t="str">
        <f>IF(B126="","",VLOOKUP(B126,'Tabla de proceso'!$B$6:$G$25,2,))</f>
        <v/>
      </c>
      <c r="D126" s="17" t="str">
        <f>IF(B126="","",VLOOKUP(B126,'Tabla de proceso'!$B$5:$G$25,3,0))</f>
        <v/>
      </c>
      <c r="E126" s="13" t="str">
        <f t="shared" ref="E126" si="597">D126</f>
        <v/>
      </c>
      <c r="F126" s="13" t="str">
        <f t="shared" ref="F126" si="598">IF(E126="","",+$E126/9)</f>
        <v/>
      </c>
      <c r="G126" s="13" t="str">
        <f t="shared" ref="G126" si="599">IF(E126="","",($E126/60)/9)</f>
        <v/>
      </c>
      <c r="H126" s="13" t="e">
        <f t="shared" si="3"/>
        <v>#VALUE!</v>
      </c>
      <c r="I126" s="47"/>
      <c r="J126" s="16">
        <f t="shared" ref="J126" si="600">+WEEKNUM(I126)</f>
        <v>0</v>
      </c>
      <c r="K126" s="45" t="str">
        <f t="shared" si="5"/>
        <v>sábado</v>
      </c>
      <c r="L126" s="48"/>
      <c r="M126" s="50"/>
      <c r="N126" s="52">
        <f t="shared" si="6"/>
        <v>0</v>
      </c>
      <c r="O126" s="52">
        <f t="shared" si="7"/>
        <v>0</v>
      </c>
      <c r="P126" s="53">
        <f t="shared" si="8"/>
        <v>0</v>
      </c>
      <c r="Q126" s="54" t="str">
        <f t="shared" ref="Q126" si="601">IF(G126="","",+$G126*$P126)</f>
        <v/>
      </c>
      <c r="R126" s="59" t="str">
        <f t="shared" si="10"/>
        <v/>
      </c>
      <c r="S126" s="51"/>
    </row>
    <row r="127" spans="1:19" s="44" customFormat="1">
      <c r="A127" s="15"/>
      <c r="B127" s="56"/>
      <c r="C127" s="18" t="str">
        <f>IF(B127="","",VLOOKUP(B127,'Tabla de proceso'!$B$6:$G$25,2,))</f>
        <v/>
      </c>
      <c r="D127" s="17" t="str">
        <f>IF(B127="","",VLOOKUP(B127,'Tabla de proceso'!$B$5:$G$25,3,0))</f>
        <v/>
      </c>
      <c r="E127" s="13" t="str">
        <f t="shared" ref="E127" si="602">D127</f>
        <v/>
      </c>
      <c r="F127" s="13" t="str">
        <f t="shared" ref="F127" si="603">IF(E127="","",+$E127/9)</f>
        <v/>
      </c>
      <c r="G127" s="13" t="str">
        <f t="shared" ref="G127" si="604">IF(E127="","",($E127/60)/9)</f>
        <v/>
      </c>
      <c r="H127" s="13" t="e">
        <f t="shared" si="3"/>
        <v>#VALUE!</v>
      </c>
      <c r="I127" s="47"/>
      <c r="J127" s="16">
        <f t="shared" ref="J127" si="605">+WEEKNUM(I127)</f>
        <v>0</v>
      </c>
      <c r="K127" s="45" t="str">
        <f t="shared" si="5"/>
        <v>sábado</v>
      </c>
      <c r="L127" s="48"/>
      <c r="M127" s="50"/>
      <c r="N127" s="52">
        <f t="shared" si="6"/>
        <v>0</v>
      </c>
      <c r="O127" s="52">
        <f t="shared" si="7"/>
        <v>0</v>
      </c>
      <c r="P127" s="53">
        <f t="shared" si="8"/>
        <v>0</v>
      </c>
      <c r="Q127" s="54" t="str">
        <f t="shared" ref="Q127" si="606">IF(G127="","",+$G127*$P127)</f>
        <v/>
      </c>
      <c r="R127" s="59" t="str">
        <f t="shared" si="10"/>
        <v/>
      </c>
      <c r="S127" s="51"/>
    </row>
    <row r="128" spans="1:19" s="44" customFormat="1">
      <c r="A128" s="15"/>
      <c r="B128" s="56"/>
      <c r="C128" s="18" t="str">
        <f>IF(B128="","",VLOOKUP(B128,'Tabla de proceso'!$B$6:$G$25,2,))</f>
        <v/>
      </c>
      <c r="D128" s="17" t="str">
        <f>IF(B128="","",VLOOKUP(B128,'Tabla de proceso'!$B$5:$G$25,3,0))</f>
        <v/>
      </c>
      <c r="E128" s="13" t="str">
        <f t="shared" ref="E128" si="607">D128</f>
        <v/>
      </c>
      <c r="F128" s="13" t="str">
        <f t="shared" ref="F128" si="608">IF(E128="","",+$E128/9)</f>
        <v/>
      </c>
      <c r="G128" s="13" t="str">
        <f t="shared" ref="G128" si="609">IF(E128="","",($E128/60)/9)</f>
        <v/>
      </c>
      <c r="H128" s="13" t="e">
        <f t="shared" si="3"/>
        <v>#VALUE!</v>
      </c>
      <c r="I128" s="47"/>
      <c r="J128" s="16">
        <f t="shared" ref="J128" si="610">+WEEKNUM(I128)</f>
        <v>0</v>
      </c>
      <c r="K128" s="45" t="str">
        <f t="shared" si="5"/>
        <v>sábado</v>
      </c>
      <c r="L128" s="48"/>
      <c r="M128" s="50"/>
      <c r="N128" s="52">
        <f t="shared" si="6"/>
        <v>0</v>
      </c>
      <c r="O128" s="52">
        <f t="shared" si="7"/>
        <v>0</v>
      </c>
      <c r="P128" s="53">
        <f t="shared" si="8"/>
        <v>0</v>
      </c>
      <c r="Q128" s="54" t="str">
        <f t="shared" ref="Q128" si="611">IF(G128="","",+$G128*$P128)</f>
        <v/>
      </c>
      <c r="R128" s="59" t="str">
        <f t="shared" si="10"/>
        <v/>
      </c>
      <c r="S128" s="51"/>
    </row>
    <row r="129" spans="1:19" s="44" customFormat="1">
      <c r="A129" s="15"/>
      <c r="B129" s="56"/>
      <c r="C129" s="18" t="str">
        <f>IF(B129="","",VLOOKUP(B129,'Tabla de proceso'!$B$6:$G$25,2,))</f>
        <v/>
      </c>
      <c r="D129" s="17" t="str">
        <f>IF(B129="","",VLOOKUP(B129,'Tabla de proceso'!$B$5:$G$25,3,0))</f>
        <v/>
      </c>
      <c r="E129" s="13" t="str">
        <f t="shared" ref="E129" si="612">D129</f>
        <v/>
      </c>
      <c r="F129" s="13" t="str">
        <f t="shared" ref="F129" si="613">IF(E129="","",+$E129/9)</f>
        <v/>
      </c>
      <c r="G129" s="13" t="str">
        <f t="shared" ref="G129" si="614">IF(E129="","",($E129/60)/9)</f>
        <v/>
      </c>
      <c r="H129" s="13" t="e">
        <f t="shared" si="3"/>
        <v>#VALUE!</v>
      </c>
      <c r="I129" s="47"/>
      <c r="J129" s="16">
        <f t="shared" ref="J129" si="615">+WEEKNUM(I129)</f>
        <v>0</v>
      </c>
      <c r="K129" s="45" t="str">
        <f t="shared" si="5"/>
        <v>sábado</v>
      </c>
      <c r="L129" s="48"/>
      <c r="M129" s="50"/>
      <c r="N129" s="52">
        <f t="shared" si="6"/>
        <v>0</v>
      </c>
      <c r="O129" s="52">
        <f t="shared" si="7"/>
        <v>0</v>
      </c>
      <c r="P129" s="53">
        <f t="shared" si="8"/>
        <v>0</v>
      </c>
      <c r="Q129" s="54" t="str">
        <f t="shared" ref="Q129" si="616">IF(G129="","",+$G129*$P129)</f>
        <v/>
      </c>
      <c r="R129" s="59" t="str">
        <f t="shared" si="10"/>
        <v/>
      </c>
      <c r="S129" s="51"/>
    </row>
    <row r="130" spans="1:19" s="44" customFormat="1">
      <c r="A130" s="15"/>
      <c r="B130" s="56"/>
      <c r="C130" s="18" t="str">
        <f>IF(B130="","",VLOOKUP(B130,'Tabla de proceso'!$B$6:$G$25,2,))</f>
        <v/>
      </c>
      <c r="D130" s="17" t="str">
        <f>IF(B130="","",VLOOKUP(B130,'Tabla de proceso'!$B$5:$G$25,3,0))</f>
        <v/>
      </c>
      <c r="E130" s="13" t="str">
        <f t="shared" ref="E130" si="617">D130</f>
        <v/>
      </c>
      <c r="F130" s="13" t="str">
        <f t="shared" ref="F130" si="618">IF(E130="","",+$E130/9)</f>
        <v/>
      </c>
      <c r="G130" s="13" t="str">
        <f t="shared" ref="G130" si="619">IF(E130="","",($E130/60)/9)</f>
        <v/>
      </c>
      <c r="H130" s="13" t="e">
        <f t="shared" si="3"/>
        <v>#VALUE!</v>
      </c>
      <c r="I130" s="47"/>
      <c r="J130" s="16">
        <f t="shared" ref="J130" si="620">+WEEKNUM(I130)</f>
        <v>0</v>
      </c>
      <c r="K130" s="45" t="str">
        <f t="shared" si="5"/>
        <v>sábado</v>
      </c>
      <c r="L130" s="48"/>
      <c r="M130" s="50"/>
      <c r="N130" s="52">
        <f t="shared" si="6"/>
        <v>0</v>
      </c>
      <c r="O130" s="52">
        <f t="shared" si="7"/>
        <v>0</v>
      </c>
      <c r="P130" s="53">
        <f t="shared" si="8"/>
        <v>0</v>
      </c>
      <c r="Q130" s="54" t="str">
        <f t="shared" ref="Q130" si="621">IF(G130="","",+$G130*$P130)</f>
        <v/>
      </c>
      <c r="R130" s="59" t="str">
        <f t="shared" si="10"/>
        <v/>
      </c>
      <c r="S130" s="51"/>
    </row>
    <row r="131" spans="1:19" s="44" customFormat="1">
      <c r="A131" s="15"/>
      <c r="B131" s="56"/>
      <c r="C131" s="18" t="str">
        <f>IF(B131="","",VLOOKUP(B131,'Tabla de proceso'!$B$6:$G$25,2,))</f>
        <v/>
      </c>
      <c r="D131" s="17" t="str">
        <f>IF(B131="","",VLOOKUP(B131,'Tabla de proceso'!$B$5:$G$25,3,0))</f>
        <v/>
      </c>
      <c r="E131" s="13" t="str">
        <f t="shared" ref="E131" si="622">D131</f>
        <v/>
      </c>
      <c r="F131" s="13" t="str">
        <f t="shared" ref="F131" si="623">IF(E131="","",+$E131/9)</f>
        <v/>
      </c>
      <c r="G131" s="13" t="str">
        <f t="shared" ref="G131" si="624">IF(E131="","",($E131/60)/9)</f>
        <v/>
      </c>
      <c r="H131" s="13" t="e">
        <f t="shared" si="3"/>
        <v>#VALUE!</v>
      </c>
      <c r="I131" s="47"/>
      <c r="J131" s="16">
        <f t="shared" ref="J131" si="625">+WEEKNUM(I131)</f>
        <v>0</v>
      </c>
      <c r="K131" s="45" t="str">
        <f t="shared" si="5"/>
        <v>sábado</v>
      </c>
      <c r="L131" s="48"/>
      <c r="M131" s="50"/>
      <c r="N131" s="52">
        <f t="shared" si="6"/>
        <v>0</v>
      </c>
      <c r="O131" s="52">
        <f t="shared" si="7"/>
        <v>0</v>
      </c>
      <c r="P131" s="53">
        <f t="shared" si="8"/>
        <v>0</v>
      </c>
      <c r="Q131" s="54" t="str">
        <f t="shared" ref="Q131" si="626">IF(G131="","",+$G131*$P131)</f>
        <v/>
      </c>
      <c r="R131" s="59" t="str">
        <f t="shared" si="10"/>
        <v/>
      </c>
      <c r="S131" s="51"/>
    </row>
    <row r="132" spans="1:19" s="44" customFormat="1">
      <c r="A132" s="15"/>
      <c r="B132" s="56"/>
      <c r="C132" s="18" t="str">
        <f>IF(B132="","",VLOOKUP(B132,'Tabla de proceso'!$B$6:$G$25,2,))</f>
        <v/>
      </c>
      <c r="D132" s="17" t="str">
        <f>IF(B132="","",VLOOKUP(B132,'Tabla de proceso'!$B$5:$G$25,3,0))</f>
        <v/>
      </c>
      <c r="E132" s="13" t="str">
        <f t="shared" ref="E132" si="627">D132</f>
        <v/>
      </c>
      <c r="F132" s="13" t="str">
        <f t="shared" ref="F132" si="628">IF(E132="","",+$E132/9)</f>
        <v/>
      </c>
      <c r="G132" s="13" t="str">
        <f t="shared" ref="G132" si="629">IF(E132="","",($E132/60)/9)</f>
        <v/>
      </c>
      <c r="H132" s="13" t="e">
        <f t="shared" si="3"/>
        <v>#VALUE!</v>
      </c>
      <c r="I132" s="47"/>
      <c r="J132" s="16">
        <f t="shared" ref="J132" si="630">+WEEKNUM(I132)</f>
        <v>0</v>
      </c>
      <c r="K132" s="45" t="str">
        <f t="shared" si="5"/>
        <v>sábado</v>
      </c>
      <c r="L132" s="48"/>
      <c r="M132" s="50"/>
      <c r="N132" s="52">
        <f t="shared" si="6"/>
        <v>0</v>
      </c>
      <c r="O132" s="52">
        <f t="shared" si="7"/>
        <v>0</v>
      </c>
      <c r="P132" s="53">
        <f t="shared" si="8"/>
        <v>0</v>
      </c>
      <c r="Q132" s="54" t="str">
        <f t="shared" ref="Q132" si="631">IF(G132="","",+$G132*$P132)</f>
        <v/>
      </c>
      <c r="R132" s="59" t="str">
        <f t="shared" si="10"/>
        <v/>
      </c>
      <c r="S132" s="51"/>
    </row>
    <row r="133" spans="1:19" s="44" customFormat="1">
      <c r="A133" s="15"/>
      <c r="B133" s="56"/>
      <c r="C133" s="18" t="str">
        <f>IF(B133="","",VLOOKUP(B133,'Tabla de proceso'!$B$6:$G$25,2,))</f>
        <v/>
      </c>
      <c r="D133" s="17" t="str">
        <f>IF(B133="","",VLOOKUP(B133,'Tabla de proceso'!$B$5:$G$25,3,0))</f>
        <v/>
      </c>
      <c r="E133" s="13" t="str">
        <f t="shared" ref="E133" si="632">D133</f>
        <v/>
      </c>
      <c r="F133" s="13" t="str">
        <f t="shared" ref="F133" si="633">IF(E133="","",+$E133/9)</f>
        <v/>
      </c>
      <c r="G133" s="13" t="str">
        <f t="shared" ref="G133" si="634">IF(E133="","",($E133/60)/9)</f>
        <v/>
      </c>
      <c r="H133" s="13" t="e">
        <f t="shared" si="3"/>
        <v>#VALUE!</v>
      </c>
      <c r="I133" s="47"/>
      <c r="J133" s="16">
        <f t="shared" ref="J133" si="635">+WEEKNUM(I133)</f>
        <v>0</v>
      </c>
      <c r="K133" s="45" t="str">
        <f t="shared" si="5"/>
        <v>sábado</v>
      </c>
      <c r="L133" s="48"/>
      <c r="M133" s="50"/>
      <c r="N133" s="52">
        <f t="shared" si="6"/>
        <v>0</v>
      </c>
      <c r="O133" s="52">
        <f t="shared" si="7"/>
        <v>0</v>
      </c>
      <c r="P133" s="53">
        <f t="shared" si="8"/>
        <v>0</v>
      </c>
      <c r="Q133" s="54" t="str">
        <f t="shared" ref="Q133" si="636">IF(G133="","",+$G133*$P133)</f>
        <v/>
      </c>
      <c r="R133" s="59" t="str">
        <f t="shared" si="10"/>
        <v/>
      </c>
      <c r="S133" s="51"/>
    </row>
    <row r="134" spans="1:19" s="44" customFormat="1">
      <c r="A134" s="15"/>
      <c r="B134" s="56"/>
      <c r="C134" s="18" t="str">
        <f>IF(B134="","",VLOOKUP(B134,'Tabla de proceso'!$B$6:$G$25,2,))</f>
        <v/>
      </c>
      <c r="D134" s="17" t="str">
        <f>IF(B134="","",VLOOKUP(B134,'Tabla de proceso'!$B$5:$G$25,3,0))</f>
        <v/>
      </c>
      <c r="E134" s="13" t="str">
        <f t="shared" ref="E134" si="637">D134</f>
        <v/>
      </c>
      <c r="F134" s="13" t="str">
        <f t="shared" ref="F134" si="638">IF(E134="","",+$E134/9)</f>
        <v/>
      </c>
      <c r="G134" s="13" t="str">
        <f t="shared" ref="G134" si="639">IF(E134="","",($E134/60)/9)</f>
        <v/>
      </c>
      <c r="H134" s="13" t="e">
        <f t="shared" si="3"/>
        <v>#VALUE!</v>
      </c>
      <c r="I134" s="47"/>
      <c r="J134" s="16">
        <f t="shared" ref="J134" si="640">+WEEKNUM(I134)</f>
        <v>0</v>
      </c>
      <c r="K134" s="45" t="str">
        <f t="shared" si="5"/>
        <v>sábado</v>
      </c>
      <c r="L134" s="48"/>
      <c r="M134" s="50"/>
      <c r="N134" s="52">
        <f t="shared" si="6"/>
        <v>0</v>
      </c>
      <c r="O134" s="52">
        <f t="shared" si="7"/>
        <v>0</v>
      </c>
      <c r="P134" s="53">
        <f t="shared" si="8"/>
        <v>0</v>
      </c>
      <c r="Q134" s="54" t="str">
        <f t="shared" ref="Q134" si="641">IF(G134="","",+$G134*$P134)</f>
        <v/>
      </c>
      <c r="R134" s="59" t="str">
        <f t="shared" si="10"/>
        <v/>
      </c>
      <c r="S134" s="51"/>
    </row>
    <row r="135" spans="1:19" s="44" customFormat="1">
      <c r="A135" s="15"/>
      <c r="B135" s="56"/>
      <c r="C135" s="18" t="str">
        <f>IF(B135="","",VLOOKUP(B135,'Tabla de proceso'!$B$6:$G$25,2,))</f>
        <v/>
      </c>
      <c r="D135" s="17" t="str">
        <f>IF(B135="","",VLOOKUP(B135,'Tabla de proceso'!$B$5:$G$25,3,0))</f>
        <v/>
      </c>
      <c r="E135" s="13" t="str">
        <f t="shared" ref="E135" si="642">D135</f>
        <v/>
      </c>
      <c r="F135" s="13" t="str">
        <f t="shared" ref="F135" si="643">IF(E135="","",+$E135/9)</f>
        <v/>
      </c>
      <c r="G135" s="13" t="str">
        <f t="shared" ref="G135" si="644">IF(E135="","",($E135/60)/9)</f>
        <v/>
      </c>
      <c r="H135" s="13" t="e">
        <f t="shared" si="3"/>
        <v>#VALUE!</v>
      </c>
      <c r="I135" s="47"/>
      <c r="J135" s="16">
        <f t="shared" ref="J135" si="645">+WEEKNUM(I135)</f>
        <v>0</v>
      </c>
      <c r="K135" s="45" t="str">
        <f t="shared" si="5"/>
        <v>sábado</v>
      </c>
      <c r="L135" s="48"/>
      <c r="M135" s="50"/>
      <c r="N135" s="52">
        <f t="shared" si="6"/>
        <v>0</v>
      </c>
      <c r="O135" s="52">
        <f t="shared" si="7"/>
        <v>0</v>
      </c>
      <c r="P135" s="53">
        <f t="shared" si="8"/>
        <v>0</v>
      </c>
      <c r="Q135" s="54" t="str">
        <f t="shared" ref="Q135" si="646">IF(G135="","",+$G135*$P135)</f>
        <v/>
      </c>
      <c r="R135" s="59" t="str">
        <f t="shared" si="10"/>
        <v/>
      </c>
      <c r="S135" s="51"/>
    </row>
    <row r="136" spans="1:19" s="44" customFormat="1">
      <c r="A136" s="15"/>
      <c r="B136" s="56"/>
      <c r="C136" s="18" t="str">
        <f>IF(B136="","",VLOOKUP(B136,'Tabla de proceso'!$B$6:$G$25,2,))</f>
        <v/>
      </c>
      <c r="D136" s="17" t="str">
        <f>IF(B136="","",VLOOKUP(B136,'Tabla de proceso'!$B$5:$G$25,3,0))</f>
        <v/>
      </c>
      <c r="E136" s="13" t="str">
        <f t="shared" ref="E136" si="647">D136</f>
        <v/>
      </c>
      <c r="F136" s="13" t="str">
        <f t="shared" ref="F136" si="648">IF(E136="","",+$E136/9)</f>
        <v/>
      </c>
      <c r="G136" s="13" t="str">
        <f t="shared" ref="G136" si="649">IF(E136="","",($E136/60)/9)</f>
        <v/>
      </c>
      <c r="H136" s="13" t="e">
        <f t="shared" si="3"/>
        <v>#VALUE!</v>
      </c>
      <c r="I136" s="47"/>
      <c r="J136" s="16">
        <f t="shared" ref="J136" si="650">+WEEKNUM(I136)</f>
        <v>0</v>
      </c>
      <c r="K136" s="45" t="str">
        <f t="shared" si="5"/>
        <v>sábado</v>
      </c>
      <c r="L136" s="48"/>
      <c r="M136" s="50"/>
      <c r="N136" s="52">
        <f t="shared" si="6"/>
        <v>0</v>
      </c>
      <c r="O136" s="52">
        <f t="shared" si="7"/>
        <v>0</v>
      </c>
      <c r="P136" s="53">
        <f t="shared" si="8"/>
        <v>0</v>
      </c>
      <c r="Q136" s="54" t="str">
        <f t="shared" ref="Q136" si="651">IF(G136="","",+$G136*$P136)</f>
        <v/>
      </c>
      <c r="R136" s="59" t="str">
        <f t="shared" si="10"/>
        <v/>
      </c>
      <c r="S136" s="51"/>
    </row>
    <row r="137" spans="1:19" s="44" customFormat="1">
      <c r="A137" s="15"/>
      <c r="B137" s="56"/>
      <c r="C137" s="18" t="str">
        <f>IF(B137="","",VLOOKUP(B137,'Tabla de proceso'!$B$6:$G$25,2,))</f>
        <v/>
      </c>
      <c r="D137" s="17" t="str">
        <f>IF(B137="","",VLOOKUP(B137,'Tabla de proceso'!$B$5:$G$25,3,0))</f>
        <v/>
      </c>
      <c r="E137" s="13" t="str">
        <f t="shared" ref="E137" si="652">D137</f>
        <v/>
      </c>
      <c r="F137" s="13" t="str">
        <f t="shared" ref="F137" si="653">IF(E137="","",+$E137/9)</f>
        <v/>
      </c>
      <c r="G137" s="13" t="str">
        <f t="shared" ref="G137" si="654">IF(E137="","",($E137/60)/9)</f>
        <v/>
      </c>
      <c r="H137" s="13" t="e">
        <f t="shared" si="3"/>
        <v>#VALUE!</v>
      </c>
      <c r="I137" s="47"/>
      <c r="J137" s="16">
        <f t="shared" ref="J137" si="655">+WEEKNUM(I137)</f>
        <v>0</v>
      </c>
      <c r="K137" s="45" t="str">
        <f t="shared" si="5"/>
        <v>sábado</v>
      </c>
      <c r="L137" s="48"/>
      <c r="M137" s="50"/>
      <c r="N137" s="52">
        <f t="shared" si="6"/>
        <v>0</v>
      </c>
      <c r="O137" s="52">
        <f t="shared" si="7"/>
        <v>0</v>
      </c>
      <c r="P137" s="53">
        <f t="shared" si="8"/>
        <v>0</v>
      </c>
      <c r="Q137" s="54" t="str">
        <f t="shared" ref="Q137" si="656">IF(G137="","",+$G137*$P137)</f>
        <v/>
      </c>
      <c r="R137" s="59" t="str">
        <f t="shared" si="10"/>
        <v/>
      </c>
      <c r="S137" s="51"/>
    </row>
    <row r="138" spans="1:19" s="44" customFormat="1">
      <c r="A138" s="15"/>
      <c r="B138" s="56"/>
      <c r="C138" s="18" t="str">
        <f>IF(B138="","",VLOOKUP(B138,'Tabla de proceso'!$B$6:$G$25,2,))</f>
        <v/>
      </c>
      <c r="D138" s="17" t="str">
        <f>IF(B138="","",VLOOKUP(B138,'Tabla de proceso'!$B$5:$G$25,3,0))</f>
        <v/>
      </c>
      <c r="E138" s="13" t="str">
        <f t="shared" ref="E138" si="657">D138</f>
        <v/>
      </c>
      <c r="F138" s="13" t="str">
        <f t="shared" ref="F138" si="658">IF(E138="","",+$E138/9)</f>
        <v/>
      </c>
      <c r="G138" s="13" t="str">
        <f t="shared" ref="G138" si="659">IF(E138="","",($E138/60)/9)</f>
        <v/>
      </c>
      <c r="H138" s="13" t="e">
        <f t="shared" si="3"/>
        <v>#VALUE!</v>
      </c>
      <c r="I138" s="47"/>
      <c r="J138" s="16">
        <f t="shared" ref="J138" si="660">+WEEKNUM(I138)</f>
        <v>0</v>
      </c>
      <c r="K138" s="45" t="str">
        <f t="shared" si="5"/>
        <v>sábado</v>
      </c>
      <c r="L138" s="48"/>
      <c r="M138" s="50"/>
      <c r="N138" s="52">
        <f t="shared" si="6"/>
        <v>0</v>
      </c>
      <c r="O138" s="52">
        <f t="shared" si="7"/>
        <v>0</v>
      </c>
      <c r="P138" s="53">
        <f t="shared" si="8"/>
        <v>0</v>
      </c>
      <c r="Q138" s="54" t="str">
        <f t="shared" ref="Q138" si="661">IF(G138="","",+$G138*$P138)</f>
        <v/>
      </c>
      <c r="R138" s="59" t="str">
        <f t="shared" si="10"/>
        <v/>
      </c>
      <c r="S138" s="51"/>
    </row>
    <row r="139" spans="1:19" s="44" customFormat="1">
      <c r="A139" s="15"/>
      <c r="B139" s="56"/>
      <c r="C139" s="18" t="str">
        <f>IF(B139="","",VLOOKUP(B139,'Tabla de proceso'!$B$6:$G$25,2,))</f>
        <v/>
      </c>
      <c r="D139" s="17" t="str">
        <f>IF(B139="","",VLOOKUP(B139,'Tabla de proceso'!$B$5:$G$25,3,0))</f>
        <v/>
      </c>
      <c r="E139" s="13" t="str">
        <f t="shared" ref="E139" si="662">D139</f>
        <v/>
      </c>
      <c r="F139" s="13" t="str">
        <f t="shared" ref="F139" si="663">IF(E139="","",+$E139/9)</f>
        <v/>
      </c>
      <c r="G139" s="13" t="str">
        <f t="shared" ref="G139" si="664">IF(E139="","",($E139/60)/9)</f>
        <v/>
      </c>
      <c r="H139" s="13" t="e">
        <f t="shared" si="3"/>
        <v>#VALUE!</v>
      </c>
      <c r="I139" s="47"/>
      <c r="J139" s="16">
        <f t="shared" ref="J139" si="665">+WEEKNUM(I139)</f>
        <v>0</v>
      </c>
      <c r="K139" s="45" t="str">
        <f t="shared" si="5"/>
        <v>sábado</v>
      </c>
      <c r="L139" s="48"/>
      <c r="M139" s="50"/>
      <c r="N139" s="52">
        <f t="shared" si="6"/>
        <v>0</v>
      </c>
      <c r="O139" s="52">
        <f t="shared" si="7"/>
        <v>0</v>
      </c>
      <c r="P139" s="53">
        <f t="shared" si="8"/>
        <v>0</v>
      </c>
      <c r="Q139" s="54" t="str">
        <f t="shared" ref="Q139" si="666">IF(G139="","",+$G139*$P139)</f>
        <v/>
      </c>
      <c r="R139" s="59" t="str">
        <f t="shared" si="10"/>
        <v/>
      </c>
      <c r="S139" s="51"/>
    </row>
    <row r="140" spans="1:19" s="44" customFormat="1">
      <c r="A140" s="15"/>
      <c r="B140" s="56"/>
      <c r="C140" s="18" t="str">
        <f>IF(B140="","",VLOOKUP(B140,'Tabla de proceso'!$B$6:$G$25,2,))</f>
        <v/>
      </c>
      <c r="D140" s="17" t="str">
        <f>IF(B140="","",VLOOKUP(B140,'Tabla de proceso'!$B$5:$G$25,3,0))</f>
        <v/>
      </c>
      <c r="E140" s="13" t="str">
        <f t="shared" ref="E140" si="667">D140</f>
        <v/>
      </c>
      <c r="F140" s="13" t="str">
        <f t="shared" ref="F140" si="668">IF(E140="","",+$E140/9)</f>
        <v/>
      </c>
      <c r="G140" s="13" t="str">
        <f t="shared" ref="G140" si="669">IF(E140="","",($E140/60)/9)</f>
        <v/>
      </c>
      <c r="H140" s="13" t="e">
        <f t="shared" si="3"/>
        <v>#VALUE!</v>
      </c>
      <c r="I140" s="47"/>
      <c r="J140" s="16">
        <f t="shared" ref="J140" si="670">+WEEKNUM(I140)</f>
        <v>0</v>
      </c>
      <c r="K140" s="45" t="str">
        <f t="shared" si="5"/>
        <v>sábado</v>
      </c>
      <c r="L140" s="48"/>
      <c r="M140" s="50"/>
      <c r="N140" s="52">
        <f t="shared" si="6"/>
        <v>0</v>
      </c>
      <c r="O140" s="52">
        <f t="shared" si="7"/>
        <v>0</v>
      </c>
      <c r="P140" s="53">
        <f t="shared" si="8"/>
        <v>0</v>
      </c>
      <c r="Q140" s="54" t="str">
        <f t="shared" ref="Q140" si="671">IF(G140="","",+$G140*$P140)</f>
        <v/>
      </c>
      <c r="R140" s="59" t="str">
        <f t="shared" si="10"/>
        <v/>
      </c>
      <c r="S140" s="51"/>
    </row>
    <row r="141" spans="1:19" s="44" customFormat="1">
      <c r="A141" s="15"/>
      <c r="B141" s="56"/>
      <c r="C141" s="18" t="str">
        <f>IF(B141="","",VLOOKUP(B141,'Tabla de proceso'!$B$6:$G$25,2,))</f>
        <v/>
      </c>
      <c r="D141" s="17" t="str">
        <f>IF(B141="","",VLOOKUP(B141,'Tabla de proceso'!$B$5:$G$25,3,0))</f>
        <v/>
      </c>
      <c r="E141" s="13" t="str">
        <f t="shared" ref="E141" si="672">D141</f>
        <v/>
      </c>
      <c r="F141" s="13" t="str">
        <f t="shared" ref="F141" si="673">IF(E141="","",+$E141/9)</f>
        <v/>
      </c>
      <c r="G141" s="13" t="str">
        <f t="shared" ref="G141" si="674">IF(E141="","",($E141/60)/9)</f>
        <v/>
      </c>
      <c r="H141" s="13" t="e">
        <f t="shared" si="3"/>
        <v>#VALUE!</v>
      </c>
      <c r="I141" s="47"/>
      <c r="J141" s="16">
        <f t="shared" ref="J141" si="675">+WEEKNUM(I141)</f>
        <v>0</v>
      </c>
      <c r="K141" s="45" t="str">
        <f t="shared" si="5"/>
        <v>sábado</v>
      </c>
      <c r="L141" s="48"/>
      <c r="M141" s="50"/>
      <c r="N141" s="52">
        <f t="shared" si="6"/>
        <v>0</v>
      </c>
      <c r="O141" s="52">
        <f t="shared" si="7"/>
        <v>0</v>
      </c>
      <c r="P141" s="53">
        <f t="shared" si="8"/>
        <v>0</v>
      </c>
      <c r="Q141" s="54" t="str">
        <f t="shared" ref="Q141" si="676">IF(G141="","",+$G141*$P141)</f>
        <v/>
      </c>
      <c r="R141" s="59" t="str">
        <f t="shared" si="10"/>
        <v/>
      </c>
      <c r="S141" s="51"/>
    </row>
    <row r="142" spans="1:19" s="44" customFormat="1">
      <c r="A142" s="15"/>
      <c r="B142" s="56"/>
      <c r="C142" s="18" t="str">
        <f>IF(B142="","",VLOOKUP(B142,'Tabla de proceso'!$B$6:$G$25,2,))</f>
        <v/>
      </c>
      <c r="D142" s="17" t="str">
        <f>IF(B142="","",VLOOKUP(B142,'Tabla de proceso'!$B$5:$G$25,3,0))</f>
        <v/>
      </c>
      <c r="E142" s="13" t="str">
        <f t="shared" ref="E142" si="677">D142</f>
        <v/>
      </c>
      <c r="F142" s="13" t="str">
        <f t="shared" ref="F142" si="678">IF(E142="","",+$E142/9)</f>
        <v/>
      </c>
      <c r="G142" s="13" t="str">
        <f t="shared" ref="G142" si="679">IF(E142="","",($E142/60)/9)</f>
        <v/>
      </c>
      <c r="H142" s="13" t="e">
        <f t="shared" si="3"/>
        <v>#VALUE!</v>
      </c>
      <c r="I142" s="47"/>
      <c r="J142" s="16">
        <f t="shared" ref="J142" si="680">+WEEKNUM(I142)</f>
        <v>0</v>
      </c>
      <c r="K142" s="45" t="str">
        <f t="shared" si="5"/>
        <v>sábado</v>
      </c>
      <c r="L142" s="48"/>
      <c r="M142" s="50"/>
      <c r="N142" s="52">
        <f t="shared" si="6"/>
        <v>0</v>
      </c>
      <c r="O142" s="52">
        <f t="shared" si="7"/>
        <v>0</v>
      </c>
      <c r="P142" s="53">
        <f t="shared" si="8"/>
        <v>0</v>
      </c>
      <c r="Q142" s="54" t="str">
        <f t="shared" ref="Q142" si="681">IF(G142="","",+$G142*$P142)</f>
        <v/>
      </c>
      <c r="R142" s="59" t="str">
        <f t="shared" si="10"/>
        <v/>
      </c>
      <c r="S142" s="51"/>
    </row>
    <row r="143" spans="1:19" s="44" customFormat="1">
      <c r="A143" s="15"/>
      <c r="B143" s="56"/>
      <c r="C143" s="18" t="str">
        <f>IF(B143="","",VLOOKUP(B143,'Tabla de proceso'!$B$6:$G$25,2,))</f>
        <v/>
      </c>
      <c r="D143" s="17" t="str">
        <f>IF(B143="","",VLOOKUP(B143,'Tabla de proceso'!$B$5:$G$25,3,0))</f>
        <v/>
      </c>
      <c r="E143" s="13" t="str">
        <f t="shared" ref="E143" si="682">D143</f>
        <v/>
      </c>
      <c r="F143" s="13" t="str">
        <f t="shared" ref="F143" si="683">IF(E143="","",+$E143/9)</f>
        <v/>
      </c>
      <c r="G143" s="13" t="str">
        <f t="shared" ref="G143" si="684">IF(E143="","",($E143/60)/9)</f>
        <v/>
      </c>
      <c r="H143" s="13" t="e">
        <f t="shared" si="3"/>
        <v>#VALUE!</v>
      </c>
      <c r="I143" s="47"/>
      <c r="J143" s="16">
        <f t="shared" ref="J143" si="685">+WEEKNUM(I143)</f>
        <v>0</v>
      </c>
      <c r="K143" s="45" t="str">
        <f t="shared" si="5"/>
        <v>sábado</v>
      </c>
      <c r="L143" s="48"/>
      <c r="M143" s="50"/>
      <c r="N143" s="52">
        <f t="shared" si="6"/>
        <v>0</v>
      </c>
      <c r="O143" s="52">
        <f t="shared" si="7"/>
        <v>0</v>
      </c>
      <c r="P143" s="53">
        <f t="shared" si="8"/>
        <v>0</v>
      </c>
      <c r="Q143" s="54" t="str">
        <f t="shared" ref="Q143" si="686">IF(G143="","",+$G143*$P143)</f>
        <v/>
      </c>
      <c r="R143" s="59" t="str">
        <f t="shared" si="10"/>
        <v/>
      </c>
      <c r="S143" s="51"/>
    </row>
    <row r="144" spans="1:19" s="44" customFormat="1">
      <c r="A144" s="15"/>
      <c r="B144" s="56"/>
      <c r="C144" s="18" t="str">
        <f>IF(B144="","",VLOOKUP(B144,'Tabla de proceso'!$B$6:$G$25,2,))</f>
        <v/>
      </c>
      <c r="D144" s="17" t="str">
        <f>IF(B144="","",VLOOKUP(B144,'Tabla de proceso'!$B$5:$G$25,3,0))</f>
        <v/>
      </c>
      <c r="E144" s="13" t="str">
        <f t="shared" ref="E144" si="687">D144</f>
        <v/>
      </c>
      <c r="F144" s="13" t="str">
        <f t="shared" ref="F144" si="688">IF(E144="","",+$E144/9)</f>
        <v/>
      </c>
      <c r="G144" s="13" t="str">
        <f t="shared" ref="G144" si="689">IF(E144="","",($E144/60)/9)</f>
        <v/>
      </c>
      <c r="H144" s="13" t="e">
        <f t="shared" si="3"/>
        <v>#VALUE!</v>
      </c>
      <c r="I144" s="47"/>
      <c r="J144" s="16">
        <f t="shared" ref="J144" si="690">+WEEKNUM(I144)</f>
        <v>0</v>
      </c>
      <c r="K144" s="45" t="str">
        <f t="shared" si="5"/>
        <v>sábado</v>
      </c>
      <c r="L144" s="48"/>
      <c r="M144" s="50"/>
      <c r="N144" s="52">
        <f t="shared" si="6"/>
        <v>0</v>
      </c>
      <c r="O144" s="52">
        <f t="shared" si="7"/>
        <v>0</v>
      </c>
      <c r="P144" s="53">
        <f t="shared" si="8"/>
        <v>0</v>
      </c>
      <c r="Q144" s="54" t="str">
        <f t="shared" ref="Q144" si="691">IF(G144="","",+$G144*$P144)</f>
        <v/>
      </c>
      <c r="R144" s="59" t="str">
        <f t="shared" si="10"/>
        <v/>
      </c>
      <c r="S144" s="51"/>
    </row>
    <row r="145" spans="1:19" s="44" customFormat="1">
      <c r="A145" s="15"/>
      <c r="B145" s="56"/>
      <c r="C145" s="18" t="str">
        <f>IF(B145="","",VLOOKUP(B145,'Tabla de proceso'!$B$6:$G$25,2,))</f>
        <v/>
      </c>
      <c r="D145" s="17" t="str">
        <f>IF(B145="","",VLOOKUP(B145,'Tabla de proceso'!$B$5:$G$25,3,0))</f>
        <v/>
      </c>
      <c r="E145" s="13" t="str">
        <f t="shared" ref="E145" si="692">D145</f>
        <v/>
      </c>
      <c r="F145" s="13" t="str">
        <f t="shared" ref="F145" si="693">IF(E145="","",+$E145/9)</f>
        <v/>
      </c>
      <c r="G145" s="13" t="str">
        <f t="shared" ref="G145" si="694">IF(E145="","",($E145/60)/9)</f>
        <v/>
      </c>
      <c r="H145" s="13" t="e">
        <f t="shared" si="3"/>
        <v>#VALUE!</v>
      </c>
      <c r="I145" s="47"/>
      <c r="J145" s="16">
        <f t="shared" ref="J145" si="695">+WEEKNUM(I145)</f>
        <v>0</v>
      </c>
      <c r="K145" s="45" t="str">
        <f t="shared" si="5"/>
        <v>sábado</v>
      </c>
      <c r="L145" s="48"/>
      <c r="M145" s="50"/>
      <c r="N145" s="52">
        <f t="shared" si="6"/>
        <v>0</v>
      </c>
      <c r="O145" s="52">
        <f t="shared" si="7"/>
        <v>0</v>
      </c>
      <c r="P145" s="53">
        <f t="shared" si="8"/>
        <v>0</v>
      </c>
      <c r="Q145" s="54" t="str">
        <f t="shared" ref="Q145" si="696">IF(G145="","",+$G145*$P145)</f>
        <v/>
      </c>
      <c r="R145" s="59" t="str">
        <f t="shared" si="10"/>
        <v/>
      </c>
      <c r="S145" s="51"/>
    </row>
    <row r="146" spans="1:19" s="44" customFormat="1">
      <c r="A146" s="15"/>
      <c r="B146" s="56"/>
      <c r="C146" s="18" t="str">
        <f>IF(B146="","",VLOOKUP(B146,'Tabla de proceso'!$B$6:$G$25,2,))</f>
        <v/>
      </c>
      <c r="D146" s="17" t="str">
        <f>IF(B146="","",VLOOKUP(B146,'Tabla de proceso'!$B$5:$G$25,3,0))</f>
        <v/>
      </c>
      <c r="E146" s="13" t="str">
        <f t="shared" ref="E146" si="697">D146</f>
        <v/>
      </c>
      <c r="F146" s="13" t="str">
        <f t="shared" ref="F146" si="698">IF(E146="","",+$E146/9)</f>
        <v/>
      </c>
      <c r="G146" s="13" t="str">
        <f t="shared" ref="G146" si="699">IF(E146="","",($E146/60)/9)</f>
        <v/>
      </c>
      <c r="H146" s="13" t="e">
        <f t="shared" si="3"/>
        <v>#VALUE!</v>
      </c>
      <c r="I146" s="47"/>
      <c r="J146" s="16">
        <f t="shared" ref="J146" si="700">+WEEKNUM(I146)</f>
        <v>0</v>
      </c>
      <c r="K146" s="45" t="str">
        <f t="shared" si="5"/>
        <v>sábado</v>
      </c>
      <c r="L146" s="22"/>
      <c r="M146" s="50"/>
      <c r="N146" s="52">
        <f t="shared" si="6"/>
        <v>0</v>
      </c>
      <c r="O146" s="52">
        <f t="shared" si="7"/>
        <v>0</v>
      </c>
      <c r="P146" s="53">
        <f t="shared" si="8"/>
        <v>0</v>
      </c>
      <c r="Q146" s="54" t="str">
        <f t="shared" ref="Q146" si="701">IF(G146="","",+$G146*$P146)</f>
        <v/>
      </c>
      <c r="R146" s="59" t="str">
        <f t="shared" si="10"/>
        <v/>
      </c>
      <c r="S146" s="23"/>
    </row>
    <row r="147" spans="1:19" s="44" customFormat="1">
      <c r="A147" s="15"/>
      <c r="B147" s="56"/>
      <c r="C147" s="18" t="str">
        <f>IF(B147="","",VLOOKUP(B147,'Tabla de proceso'!$B$6:$G$25,2,))</f>
        <v/>
      </c>
      <c r="D147" s="17" t="str">
        <f>IF(B147="","",VLOOKUP(B147,'Tabla de proceso'!$B$5:$G$25,3,0))</f>
        <v/>
      </c>
      <c r="E147" s="13" t="str">
        <f t="shared" ref="E147" si="702">D147</f>
        <v/>
      </c>
      <c r="F147" s="13" t="str">
        <f t="shared" ref="F147" si="703">IF(E147="","",+$E147/9)</f>
        <v/>
      </c>
      <c r="G147" s="13" t="str">
        <f t="shared" ref="G147" si="704">IF(E147="","",($E147/60)/9)</f>
        <v/>
      </c>
      <c r="H147" s="13" t="e">
        <f t="shared" si="3"/>
        <v>#VALUE!</v>
      </c>
      <c r="I147" s="47"/>
      <c r="J147" s="16">
        <f t="shared" ref="J147" si="705">+WEEKNUM(I147)</f>
        <v>0</v>
      </c>
      <c r="K147" s="45" t="str">
        <f t="shared" si="5"/>
        <v>sábado</v>
      </c>
      <c r="L147" s="22"/>
      <c r="M147" s="50"/>
      <c r="N147" s="52">
        <f t="shared" si="6"/>
        <v>0</v>
      </c>
      <c r="O147" s="52">
        <f t="shared" si="7"/>
        <v>0</v>
      </c>
      <c r="P147" s="53">
        <f t="shared" si="8"/>
        <v>0</v>
      </c>
      <c r="Q147" s="54" t="str">
        <f t="shared" ref="Q147" si="706">IF(G147="","",+$G147*$P147)</f>
        <v/>
      </c>
      <c r="R147" s="59" t="str">
        <f t="shared" si="10"/>
        <v/>
      </c>
      <c r="S147" s="23"/>
    </row>
    <row r="148" spans="1:19" s="44" customFormat="1">
      <c r="A148" s="15"/>
      <c r="B148" s="56"/>
      <c r="C148" s="18" t="str">
        <f>IF(B148="","",VLOOKUP(B148,'Tabla de proceso'!$B$6:$G$25,2,))</f>
        <v/>
      </c>
      <c r="D148" s="17" t="str">
        <f>IF(B148="","",VLOOKUP(B148,'Tabla de proceso'!$B$5:$G$25,3,0))</f>
        <v/>
      </c>
      <c r="E148" s="13" t="str">
        <f t="shared" ref="E148" si="707">D148</f>
        <v/>
      </c>
      <c r="F148" s="13" t="str">
        <f t="shared" ref="F148" si="708">IF(E148="","",+$E148/9)</f>
        <v/>
      </c>
      <c r="G148" s="13" t="str">
        <f t="shared" ref="G148" si="709">IF(E148="","",($E148/60)/9)</f>
        <v/>
      </c>
      <c r="H148" s="13" t="e">
        <f t="shared" si="3"/>
        <v>#VALUE!</v>
      </c>
      <c r="I148" s="47"/>
      <c r="J148" s="16">
        <f t="shared" ref="J148" si="710">+WEEKNUM(I148)</f>
        <v>0</v>
      </c>
      <c r="K148" s="45" t="str">
        <f t="shared" si="5"/>
        <v>sábado</v>
      </c>
      <c r="L148" s="22"/>
      <c r="M148" s="50"/>
      <c r="N148" s="52">
        <f t="shared" si="6"/>
        <v>0</v>
      </c>
      <c r="O148" s="52">
        <f t="shared" si="7"/>
        <v>0</v>
      </c>
      <c r="P148" s="53">
        <f t="shared" si="8"/>
        <v>0</v>
      </c>
      <c r="Q148" s="54" t="str">
        <f t="shared" ref="Q148" si="711">IF(G148="","",+$G148*$P148)</f>
        <v/>
      </c>
      <c r="R148" s="59" t="str">
        <f t="shared" si="10"/>
        <v/>
      </c>
      <c r="S148" s="23"/>
    </row>
    <row r="149" spans="1:19" s="44" customFormat="1">
      <c r="A149" s="15"/>
      <c r="B149" s="56"/>
      <c r="C149" s="18" t="str">
        <f>IF(B149="","",VLOOKUP(B149,'Tabla de proceso'!$B$6:$G$25,2,))</f>
        <v/>
      </c>
      <c r="D149" s="17" t="str">
        <f>IF(B149="","",VLOOKUP(B149,'Tabla de proceso'!$B$5:$G$25,3,0))</f>
        <v/>
      </c>
      <c r="E149" s="13" t="str">
        <f t="shared" ref="E149" si="712">D149</f>
        <v/>
      </c>
      <c r="F149" s="13" t="str">
        <f t="shared" ref="F149" si="713">IF(E149="","",+$E149/9)</f>
        <v/>
      </c>
      <c r="G149" s="13" t="str">
        <f t="shared" ref="G149" si="714">IF(E149="","",($E149/60)/9)</f>
        <v/>
      </c>
      <c r="H149" s="13" t="e">
        <f t="shared" si="3"/>
        <v>#VALUE!</v>
      </c>
      <c r="I149" s="47"/>
      <c r="J149" s="16">
        <f t="shared" ref="J149" si="715">+WEEKNUM(I149)</f>
        <v>0</v>
      </c>
      <c r="K149" s="45" t="str">
        <f t="shared" si="5"/>
        <v>sábado</v>
      </c>
      <c r="L149" s="22"/>
      <c r="M149" s="50"/>
      <c r="N149" s="52">
        <f t="shared" si="6"/>
        <v>0</v>
      </c>
      <c r="O149" s="52">
        <f t="shared" si="7"/>
        <v>0</v>
      </c>
      <c r="P149" s="53">
        <f t="shared" si="8"/>
        <v>0</v>
      </c>
      <c r="Q149" s="54" t="str">
        <f t="shared" ref="Q149" si="716">IF(G149="","",+$G149*$P149)</f>
        <v/>
      </c>
      <c r="R149" s="59" t="str">
        <f t="shared" si="10"/>
        <v/>
      </c>
      <c r="S149" s="23"/>
    </row>
    <row r="150" spans="1:19" s="44" customFormat="1">
      <c r="A150" s="15"/>
      <c r="B150" s="56"/>
      <c r="C150" s="18" t="str">
        <f>IF(B150="","",VLOOKUP(B150,'Tabla de proceso'!$B$6:$G$25,2,))</f>
        <v/>
      </c>
      <c r="D150" s="17" t="str">
        <f>IF(B150="","",VLOOKUP(B150,'Tabla de proceso'!$B$5:$G$25,3,0))</f>
        <v/>
      </c>
      <c r="E150" s="13" t="str">
        <f t="shared" ref="E150" si="717">D150</f>
        <v/>
      </c>
      <c r="F150" s="13" t="str">
        <f t="shared" ref="F150" si="718">IF(E150="","",+$E150/9)</f>
        <v/>
      </c>
      <c r="G150" s="13" t="str">
        <f t="shared" ref="G150" si="719">IF(E150="","",($E150/60)/9)</f>
        <v/>
      </c>
      <c r="H150" s="13" t="e">
        <f t="shared" si="3"/>
        <v>#VALUE!</v>
      </c>
      <c r="I150" s="47"/>
      <c r="J150" s="16">
        <f t="shared" ref="J150" si="720">+WEEKNUM(I150)</f>
        <v>0</v>
      </c>
      <c r="K150" s="45" t="str">
        <f t="shared" si="5"/>
        <v>sábado</v>
      </c>
      <c r="L150" s="22"/>
      <c r="M150" s="50"/>
      <c r="N150" s="52">
        <f t="shared" si="6"/>
        <v>0</v>
      </c>
      <c r="O150" s="52">
        <f t="shared" si="7"/>
        <v>0</v>
      </c>
      <c r="P150" s="53">
        <f t="shared" si="8"/>
        <v>0</v>
      </c>
      <c r="Q150" s="54" t="str">
        <f t="shared" ref="Q150" si="721">IF(G150="","",+$G150*$P150)</f>
        <v/>
      </c>
      <c r="R150" s="59" t="str">
        <f t="shared" si="10"/>
        <v/>
      </c>
      <c r="S150" s="23"/>
    </row>
    <row r="151" spans="1:19" s="44" customFormat="1">
      <c r="A151" s="15"/>
      <c r="B151" s="56"/>
      <c r="C151" s="18" t="str">
        <f>IF(B151="","",VLOOKUP(B151,'Tabla de proceso'!$B$6:$G$25,2,))</f>
        <v/>
      </c>
      <c r="D151" s="17" t="str">
        <f>IF(B151="","",VLOOKUP(B151,'Tabla de proceso'!$B$5:$G$25,3,0))</f>
        <v/>
      </c>
      <c r="E151" s="13" t="str">
        <f t="shared" ref="E151" si="722">D151</f>
        <v/>
      </c>
      <c r="F151" s="13" t="str">
        <f t="shared" ref="F151" si="723">IF(E151="","",+$E151/9)</f>
        <v/>
      </c>
      <c r="G151" s="13" t="str">
        <f t="shared" ref="G151" si="724">IF(E151="","",($E151/60)/9)</f>
        <v/>
      </c>
      <c r="H151" s="13" t="e">
        <f t="shared" si="3"/>
        <v>#VALUE!</v>
      </c>
      <c r="I151" s="47"/>
      <c r="J151" s="16">
        <f t="shared" ref="J151" si="725">+WEEKNUM(I151)</f>
        <v>0</v>
      </c>
      <c r="K151" s="45" t="str">
        <f t="shared" si="5"/>
        <v>sábado</v>
      </c>
      <c r="L151" s="22"/>
      <c r="M151" s="50"/>
      <c r="N151" s="52">
        <f t="shared" si="6"/>
        <v>0</v>
      </c>
      <c r="O151" s="52">
        <f t="shared" si="7"/>
        <v>0</v>
      </c>
      <c r="P151" s="53">
        <f t="shared" si="8"/>
        <v>0</v>
      </c>
      <c r="Q151" s="54" t="str">
        <f t="shared" ref="Q151" si="726">IF(G151="","",+$G151*$P151)</f>
        <v/>
      </c>
      <c r="R151" s="59" t="str">
        <f t="shared" si="10"/>
        <v/>
      </c>
      <c r="S151" s="23"/>
    </row>
    <row r="152" spans="1:19" s="44" customFormat="1">
      <c r="A152" s="15"/>
      <c r="B152" s="56"/>
      <c r="C152" s="18" t="str">
        <f>IF(B152="","",VLOOKUP(B152,'Tabla de proceso'!$B$6:$G$25,2,))</f>
        <v/>
      </c>
      <c r="D152" s="17" t="str">
        <f>IF(B152="","",VLOOKUP(B152,'Tabla de proceso'!$B$5:$G$25,3,0))</f>
        <v/>
      </c>
      <c r="E152" s="13" t="str">
        <f t="shared" ref="E152" si="727">D152</f>
        <v/>
      </c>
      <c r="F152" s="13" t="str">
        <f t="shared" ref="F152" si="728">IF(E152="","",+$E152/9)</f>
        <v/>
      </c>
      <c r="G152" s="13" t="str">
        <f t="shared" ref="G152" si="729">IF(E152="","",($E152/60)/9)</f>
        <v/>
      </c>
      <c r="H152" s="13" t="e">
        <f t="shared" si="3"/>
        <v>#VALUE!</v>
      </c>
      <c r="I152" s="47"/>
      <c r="J152" s="16">
        <f t="shared" ref="J152" si="730">+WEEKNUM(I152)</f>
        <v>0</v>
      </c>
      <c r="K152" s="45" t="str">
        <f t="shared" si="5"/>
        <v>sábado</v>
      </c>
      <c r="L152" s="22"/>
      <c r="M152" s="50"/>
      <c r="N152" s="52">
        <f t="shared" si="6"/>
        <v>0</v>
      </c>
      <c r="O152" s="52">
        <f t="shared" si="7"/>
        <v>0</v>
      </c>
      <c r="P152" s="53">
        <f t="shared" si="8"/>
        <v>0</v>
      </c>
      <c r="Q152" s="54" t="str">
        <f t="shared" ref="Q152" si="731">IF(G152="","",+$G152*$P152)</f>
        <v/>
      </c>
      <c r="R152" s="59" t="str">
        <f t="shared" si="10"/>
        <v/>
      </c>
      <c r="S152" s="23"/>
    </row>
    <row r="153" spans="1:19" s="44" customFormat="1">
      <c r="A153" s="15"/>
      <c r="B153" s="56"/>
      <c r="C153" s="18" t="str">
        <f>IF(B153="","",VLOOKUP(B153,'Tabla de proceso'!$B$6:$G$25,2,))</f>
        <v/>
      </c>
      <c r="D153" s="17" t="str">
        <f>IF(B153="","",VLOOKUP(B153,'Tabla de proceso'!$B$5:$G$25,3,0))</f>
        <v/>
      </c>
      <c r="E153" s="13" t="str">
        <f t="shared" ref="E153" si="732">D153</f>
        <v/>
      </c>
      <c r="F153" s="13" t="str">
        <f t="shared" ref="F153" si="733">IF(E153="","",+$E153/9)</f>
        <v/>
      </c>
      <c r="G153" s="13" t="str">
        <f t="shared" ref="G153" si="734">IF(E153="","",($E153/60)/9)</f>
        <v/>
      </c>
      <c r="H153" s="13" t="e">
        <f t="shared" si="3"/>
        <v>#VALUE!</v>
      </c>
      <c r="I153" s="47"/>
      <c r="J153" s="16">
        <f t="shared" ref="J153" si="735">+WEEKNUM(I153)</f>
        <v>0</v>
      </c>
      <c r="K153" s="45" t="str">
        <f t="shared" si="5"/>
        <v>sábado</v>
      </c>
      <c r="L153" s="22"/>
      <c r="M153" s="50"/>
      <c r="N153" s="52">
        <f t="shared" si="6"/>
        <v>0</v>
      </c>
      <c r="O153" s="52">
        <f t="shared" si="7"/>
        <v>0</v>
      </c>
      <c r="P153" s="53">
        <f t="shared" si="8"/>
        <v>0</v>
      </c>
      <c r="Q153" s="54" t="str">
        <f t="shared" ref="Q153" si="736">IF(G153="","",+$G153*$P153)</f>
        <v/>
      </c>
      <c r="R153" s="59" t="str">
        <f t="shared" si="10"/>
        <v/>
      </c>
      <c r="S153" s="23"/>
    </row>
    <row r="154" spans="1:19" s="44" customFormat="1">
      <c r="A154" s="15"/>
      <c r="B154" s="56"/>
      <c r="C154" s="18" t="str">
        <f>IF(B154="","",VLOOKUP(B154,'Tabla de proceso'!$B$6:$G$25,2,))</f>
        <v/>
      </c>
      <c r="D154" s="17" t="str">
        <f>IF(B154="","",VLOOKUP(B154,'Tabla de proceso'!$B$5:$G$25,3,0))</f>
        <v/>
      </c>
      <c r="E154" s="13" t="str">
        <f t="shared" ref="E154" si="737">D154</f>
        <v/>
      </c>
      <c r="F154" s="13" t="str">
        <f t="shared" ref="F154" si="738">IF(E154="","",+$E154/9)</f>
        <v/>
      </c>
      <c r="G154" s="13" t="str">
        <f t="shared" ref="G154" si="739">IF(E154="","",($E154/60)/9)</f>
        <v/>
      </c>
      <c r="H154" s="13" t="e">
        <f t="shared" si="3"/>
        <v>#VALUE!</v>
      </c>
      <c r="I154" s="47"/>
      <c r="J154" s="16">
        <f t="shared" ref="J154" si="740">+WEEKNUM(I154)</f>
        <v>0</v>
      </c>
      <c r="K154" s="45" t="str">
        <f t="shared" si="5"/>
        <v>sábado</v>
      </c>
      <c r="L154" s="22"/>
      <c r="M154" s="50"/>
      <c r="N154" s="52">
        <f t="shared" si="6"/>
        <v>0</v>
      </c>
      <c r="O154" s="52">
        <f t="shared" si="7"/>
        <v>0</v>
      </c>
      <c r="P154" s="53">
        <f t="shared" si="8"/>
        <v>0</v>
      </c>
      <c r="Q154" s="54" t="str">
        <f t="shared" ref="Q154" si="741">IF(G154="","",+$G154*$P154)</f>
        <v/>
      </c>
      <c r="R154" s="59" t="str">
        <f t="shared" si="10"/>
        <v/>
      </c>
      <c r="S154" s="23"/>
    </row>
    <row r="155" spans="1:19" s="44" customFormat="1">
      <c r="A155" s="15"/>
      <c r="B155" s="56"/>
      <c r="C155" s="18" t="str">
        <f>IF(B155="","",VLOOKUP(B155,'Tabla de proceso'!$B$6:$G$25,2,))</f>
        <v/>
      </c>
      <c r="D155" s="17" t="str">
        <f>IF(B155="","",VLOOKUP(B155,'Tabla de proceso'!$B$5:$G$25,3,0))</f>
        <v/>
      </c>
      <c r="E155" s="13" t="str">
        <f t="shared" ref="E155" si="742">D155</f>
        <v/>
      </c>
      <c r="F155" s="13" t="str">
        <f t="shared" ref="F155" si="743">IF(E155="","",+$E155/9)</f>
        <v/>
      </c>
      <c r="G155" s="13" t="str">
        <f t="shared" ref="G155" si="744">IF(E155="","",($E155/60)/9)</f>
        <v/>
      </c>
      <c r="H155" s="13" t="e">
        <f t="shared" si="3"/>
        <v>#VALUE!</v>
      </c>
      <c r="I155" s="47"/>
      <c r="J155" s="16">
        <f t="shared" ref="J155" si="745">+WEEKNUM(I155)</f>
        <v>0</v>
      </c>
      <c r="K155" s="45" t="str">
        <f t="shared" si="5"/>
        <v>sábado</v>
      </c>
      <c r="L155" s="22"/>
      <c r="M155" s="50"/>
      <c r="N155" s="52">
        <f t="shared" si="6"/>
        <v>0</v>
      </c>
      <c r="O155" s="52">
        <f t="shared" si="7"/>
        <v>0</v>
      </c>
      <c r="P155" s="53">
        <f t="shared" si="8"/>
        <v>0</v>
      </c>
      <c r="Q155" s="54" t="str">
        <f t="shared" ref="Q155" si="746">IF(G155="","",+$G155*$P155)</f>
        <v/>
      </c>
      <c r="R155" s="59" t="str">
        <f t="shared" si="10"/>
        <v/>
      </c>
      <c r="S155" s="23"/>
    </row>
    <row r="156" spans="1:19" s="44" customFormat="1">
      <c r="A156" s="15"/>
      <c r="B156" s="56"/>
      <c r="C156" s="18" t="str">
        <f>IF(B156="","",VLOOKUP(B156,'Tabla de proceso'!$B$6:$G$25,2,))</f>
        <v/>
      </c>
      <c r="D156" s="17" t="str">
        <f>IF(B156="","",VLOOKUP(B156,'Tabla de proceso'!$B$5:$G$25,3,0))</f>
        <v/>
      </c>
      <c r="E156" s="13" t="str">
        <f t="shared" ref="E156" si="747">D156</f>
        <v/>
      </c>
      <c r="F156" s="13" t="str">
        <f t="shared" ref="F156" si="748">IF(E156="","",+$E156/9)</f>
        <v/>
      </c>
      <c r="G156" s="13" t="str">
        <f t="shared" ref="G156" si="749">IF(E156="","",($E156/60)/9)</f>
        <v/>
      </c>
      <c r="H156" s="13" t="e">
        <f t="shared" si="3"/>
        <v>#VALUE!</v>
      </c>
      <c r="I156" s="47"/>
      <c r="J156" s="16">
        <f t="shared" ref="J156" si="750">+WEEKNUM(I156)</f>
        <v>0</v>
      </c>
      <c r="K156" s="45" t="str">
        <f t="shared" si="5"/>
        <v>sábado</v>
      </c>
      <c r="L156" s="22"/>
      <c r="M156" s="50"/>
      <c r="N156" s="52">
        <f t="shared" si="6"/>
        <v>0</v>
      </c>
      <c r="O156" s="52">
        <f t="shared" si="7"/>
        <v>0</v>
      </c>
      <c r="P156" s="53">
        <f t="shared" si="8"/>
        <v>0</v>
      </c>
      <c r="Q156" s="54" t="str">
        <f t="shared" ref="Q156" si="751">IF(G156="","",+$G156*$P156)</f>
        <v/>
      </c>
      <c r="R156" s="59" t="str">
        <f t="shared" si="10"/>
        <v/>
      </c>
      <c r="S156" s="23"/>
    </row>
    <row r="157" spans="1:19" s="44" customFormat="1">
      <c r="A157" s="15"/>
      <c r="B157" s="56"/>
      <c r="C157" s="18" t="str">
        <f>IF(B157="","",VLOOKUP(B157,'Tabla de proceso'!$B$6:$G$25,2,))</f>
        <v/>
      </c>
      <c r="D157" s="17" t="str">
        <f>IF(B157="","",VLOOKUP(B157,'Tabla de proceso'!$B$5:$G$25,3,0))</f>
        <v/>
      </c>
      <c r="E157" s="13" t="str">
        <f t="shared" ref="E157" si="752">D157</f>
        <v/>
      </c>
      <c r="F157" s="13" t="str">
        <f t="shared" ref="F157" si="753">IF(E157="","",+$E157/9)</f>
        <v/>
      </c>
      <c r="G157" s="13" t="str">
        <f t="shared" ref="G157" si="754">IF(E157="","",($E157/60)/9)</f>
        <v/>
      </c>
      <c r="H157" s="13" t="e">
        <f t="shared" si="3"/>
        <v>#VALUE!</v>
      </c>
      <c r="I157" s="47"/>
      <c r="J157" s="16">
        <f t="shared" ref="J157" si="755">+WEEKNUM(I157)</f>
        <v>0</v>
      </c>
      <c r="K157" s="45" t="str">
        <f t="shared" si="5"/>
        <v>sábado</v>
      </c>
      <c r="L157" s="22"/>
      <c r="M157" s="50"/>
      <c r="N157" s="52">
        <f t="shared" si="6"/>
        <v>0</v>
      </c>
      <c r="O157" s="52">
        <f t="shared" si="7"/>
        <v>0</v>
      </c>
      <c r="P157" s="53">
        <f t="shared" si="8"/>
        <v>0</v>
      </c>
      <c r="Q157" s="54" t="str">
        <f t="shared" ref="Q157" si="756">IF(G157="","",+$G157*$P157)</f>
        <v/>
      </c>
      <c r="R157" s="59" t="str">
        <f t="shared" si="10"/>
        <v/>
      </c>
      <c r="S157" s="23"/>
    </row>
    <row r="158" spans="1:19" s="44" customFormat="1">
      <c r="A158" s="15"/>
      <c r="B158" s="56"/>
      <c r="C158" s="18" t="str">
        <f>IF(B158="","",VLOOKUP(B158,'Tabla de proceso'!$B$6:$G$25,2,))</f>
        <v/>
      </c>
      <c r="D158" s="17" t="str">
        <f>IF(B158="","",VLOOKUP(B158,'Tabla de proceso'!$B$5:$G$25,3,0))</f>
        <v/>
      </c>
      <c r="E158" s="13" t="str">
        <f t="shared" ref="E158" si="757">D158</f>
        <v/>
      </c>
      <c r="F158" s="13" t="str">
        <f t="shared" ref="F158" si="758">IF(E158="","",+$E158/9)</f>
        <v/>
      </c>
      <c r="G158" s="13" t="str">
        <f t="shared" ref="G158" si="759">IF(E158="","",($E158/60)/9)</f>
        <v/>
      </c>
      <c r="H158" s="13" t="e">
        <f t="shared" si="3"/>
        <v>#VALUE!</v>
      </c>
      <c r="I158" s="47"/>
      <c r="J158" s="16">
        <f t="shared" ref="J158" si="760">+WEEKNUM(I158)</f>
        <v>0</v>
      </c>
      <c r="K158" s="45" t="str">
        <f t="shared" si="5"/>
        <v>sábado</v>
      </c>
      <c r="L158" s="22"/>
      <c r="M158" s="50"/>
      <c r="N158" s="52">
        <f t="shared" si="6"/>
        <v>0</v>
      </c>
      <c r="O158" s="52">
        <f t="shared" si="7"/>
        <v>0</v>
      </c>
      <c r="P158" s="53">
        <f t="shared" si="8"/>
        <v>0</v>
      </c>
      <c r="Q158" s="54" t="str">
        <f t="shared" ref="Q158" si="761">IF(G158="","",+$G158*$P158)</f>
        <v/>
      </c>
      <c r="R158" s="59" t="str">
        <f t="shared" si="10"/>
        <v/>
      </c>
      <c r="S158" s="23"/>
    </row>
    <row r="159" spans="1:19" s="44" customFormat="1">
      <c r="A159" s="15"/>
      <c r="B159" s="56"/>
      <c r="C159" s="18" t="str">
        <f>IF(B159="","",VLOOKUP(B159,'Tabla de proceso'!$B$6:$G$25,2,))</f>
        <v/>
      </c>
      <c r="D159" s="17" t="str">
        <f>IF(B159="","",VLOOKUP(B159,'Tabla de proceso'!$B$5:$G$25,3,0))</f>
        <v/>
      </c>
      <c r="E159" s="13" t="str">
        <f t="shared" ref="E159" si="762">D159</f>
        <v/>
      </c>
      <c r="F159" s="13" t="str">
        <f t="shared" ref="F159" si="763">IF(E159="","",+$E159/9)</f>
        <v/>
      </c>
      <c r="G159" s="13" t="str">
        <f t="shared" ref="G159" si="764">IF(E159="","",($E159/60)/9)</f>
        <v/>
      </c>
      <c r="H159" s="13" t="e">
        <f t="shared" si="3"/>
        <v>#VALUE!</v>
      </c>
      <c r="I159" s="47"/>
      <c r="J159" s="16">
        <f t="shared" ref="J159" si="765">+WEEKNUM(I159)</f>
        <v>0</v>
      </c>
      <c r="K159" s="45" t="str">
        <f t="shared" si="5"/>
        <v>sábado</v>
      </c>
      <c r="L159" s="22"/>
      <c r="M159" s="50"/>
      <c r="N159" s="52">
        <f t="shared" si="6"/>
        <v>0</v>
      </c>
      <c r="O159" s="52">
        <f t="shared" si="7"/>
        <v>0</v>
      </c>
      <c r="P159" s="53">
        <f t="shared" si="8"/>
        <v>0</v>
      </c>
      <c r="Q159" s="54" t="str">
        <f t="shared" ref="Q159" si="766">IF(G159="","",+$G159*$P159)</f>
        <v/>
      </c>
      <c r="R159" s="59" t="str">
        <f t="shared" si="10"/>
        <v/>
      </c>
      <c r="S159" s="23"/>
    </row>
    <row r="160" spans="1:19" s="44" customFormat="1">
      <c r="A160" s="15"/>
      <c r="B160" s="56"/>
      <c r="C160" s="18" t="str">
        <f>IF(B160="","",VLOOKUP(B160,'Tabla de proceso'!$B$6:$G$25,2,))</f>
        <v/>
      </c>
      <c r="D160" s="17" t="str">
        <f>IF(B160="","",VLOOKUP(B160,'Tabla de proceso'!$B$5:$G$25,3,0))</f>
        <v/>
      </c>
      <c r="E160" s="13" t="str">
        <f t="shared" ref="E160" si="767">D160</f>
        <v/>
      </c>
      <c r="F160" s="13" t="str">
        <f t="shared" ref="F160" si="768">IF(E160="","",+$E160/9)</f>
        <v/>
      </c>
      <c r="G160" s="13" t="str">
        <f t="shared" ref="G160" si="769">IF(E160="","",($E160/60)/9)</f>
        <v/>
      </c>
      <c r="H160" s="13" t="e">
        <f t="shared" si="3"/>
        <v>#VALUE!</v>
      </c>
      <c r="I160" s="47"/>
      <c r="J160" s="16">
        <f t="shared" ref="J160" si="770">+WEEKNUM(I160)</f>
        <v>0</v>
      </c>
      <c r="K160" s="45" t="str">
        <f t="shared" si="5"/>
        <v>sábado</v>
      </c>
      <c r="L160" s="22"/>
      <c r="M160" s="50"/>
      <c r="N160" s="52">
        <f t="shared" si="6"/>
        <v>0</v>
      </c>
      <c r="O160" s="52">
        <f t="shared" si="7"/>
        <v>0</v>
      </c>
      <c r="P160" s="53">
        <f t="shared" si="8"/>
        <v>0</v>
      </c>
      <c r="Q160" s="54" t="str">
        <f t="shared" ref="Q160" si="771">IF(G160="","",+$G160*$P160)</f>
        <v/>
      </c>
      <c r="R160" s="59" t="str">
        <f t="shared" si="10"/>
        <v/>
      </c>
      <c r="S160" s="23"/>
    </row>
    <row r="161" spans="1:19" s="44" customFormat="1">
      <c r="A161" s="15"/>
      <c r="B161" s="56"/>
      <c r="C161" s="18" t="str">
        <f>IF(B161="","",VLOOKUP(B161,'Tabla de proceso'!$B$6:$G$25,2,))</f>
        <v/>
      </c>
      <c r="D161" s="17" t="str">
        <f>IF(B161="","",VLOOKUP(B161,'Tabla de proceso'!$B$5:$G$25,3,0))</f>
        <v/>
      </c>
      <c r="E161" s="13" t="str">
        <f t="shared" ref="E161" si="772">D161</f>
        <v/>
      </c>
      <c r="F161" s="13" t="str">
        <f t="shared" ref="F161" si="773">IF(E161="","",+$E161/9)</f>
        <v/>
      </c>
      <c r="G161" s="13" t="str">
        <f t="shared" ref="G161" si="774">IF(E161="","",($E161/60)/9)</f>
        <v/>
      </c>
      <c r="H161" s="13" t="e">
        <f t="shared" si="3"/>
        <v>#VALUE!</v>
      </c>
      <c r="I161" s="47"/>
      <c r="J161" s="16">
        <f t="shared" ref="J161" si="775">+WEEKNUM(I161)</f>
        <v>0</v>
      </c>
      <c r="K161" s="45" t="str">
        <f t="shared" si="5"/>
        <v>sábado</v>
      </c>
      <c r="L161" s="22"/>
      <c r="M161" s="50"/>
      <c r="N161" s="52">
        <f t="shared" si="6"/>
        <v>0</v>
      </c>
      <c r="O161" s="52">
        <f t="shared" si="7"/>
        <v>0</v>
      </c>
      <c r="P161" s="53">
        <f t="shared" si="8"/>
        <v>0</v>
      </c>
      <c r="Q161" s="54" t="str">
        <f t="shared" ref="Q161" si="776">IF(G161="","",+$G161*$P161)</f>
        <v/>
      </c>
      <c r="R161" s="59" t="str">
        <f t="shared" si="10"/>
        <v/>
      </c>
      <c r="S161" s="23"/>
    </row>
    <row r="162" spans="1:19" s="44" customFormat="1">
      <c r="A162" s="15"/>
      <c r="B162" s="56"/>
      <c r="C162" s="18" t="str">
        <f>IF(B162="","",VLOOKUP(B162,'Tabla de proceso'!$B$6:$G$25,2,))</f>
        <v/>
      </c>
      <c r="D162" s="17" t="str">
        <f>IF(B162="","",VLOOKUP(B162,'Tabla de proceso'!$B$5:$G$25,3,0))</f>
        <v/>
      </c>
      <c r="E162" s="13" t="str">
        <f t="shared" ref="E162" si="777">D162</f>
        <v/>
      </c>
      <c r="F162" s="13" t="str">
        <f t="shared" ref="F162" si="778">IF(E162="","",+$E162/9)</f>
        <v/>
      </c>
      <c r="G162" s="13" t="str">
        <f t="shared" ref="G162" si="779">IF(E162="","",($E162/60)/9)</f>
        <v/>
      </c>
      <c r="H162" s="13" t="e">
        <f t="shared" si="3"/>
        <v>#VALUE!</v>
      </c>
      <c r="I162" s="47"/>
      <c r="J162" s="16">
        <f t="shared" ref="J162" si="780">+WEEKNUM(I162)</f>
        <v>0</v>
      </c>
      <c r="K162" s="45" t="str">
        <f t="shared" si="5"/>
        <v>sábado</v>
      </c>
      <c r="L162" s="22"/>
      <c r="M162" s="50"/>
      <c r="N162" s="52">
        <f t="shared" si="6"/>
        <v>0</v>
      </c>
      <c r="O162" s="52">
        <f t="shared" si="7"/>
        <v>0</v>
      </c>
      <c r="P162" s="53">
        <f t="shared" si="8"/>
        <v>0</v>
      </c>
      <c r="Q162" s="54" t="str">
        <f t="shared" ref="Q162" si="781">IF(G162="","",+$G162*$P162)</f>
        <v/>
      </c>
      <c r="R162" s="59" t="str">
        <f t="shared" si="10"/>
        <v/>
      </c>
      <c r="S162" s="23"/>
    </row>
    <row r="163" spans="1:19" s="44" customFormat="1">
      <c r="A163" s="15"/>
      <c r="B163" s="56"/>
      <c r="C163" s="18" t="str">
        <f>IF(B163="","",VLOOKUP(B163,'Tabla de proceso'!$B$6:$G$25,2,))</f>
        <v/>
      </c>
      <c r="D163" s="17" t="str">
        <f>IF(B163="","",VLOOKUP(B163,'Tabla de proceso'!$B$5:$G$25,3,0))</f>
        <v/>
      </c>
      <c r="E163" s="13" t="str">
        <f t="shared" ref="E163" si="782">D163</f>
        <v/>
      </c>
      <c r="F163" s="13" t="str">
        <f t="shared" ref="F163" si="783">IF(E163="","",+$E163/9)</f>
        <v/>
      </c>
      <c r="G163" s="13" t="str">
        <f t="shared" ref="G163" si="784">IF(E163="","",($E163/60)/9)</f>
        <v/>
      </c>
      <c r="H163" s="13" t="e">
        <f t="shared" si="3"/>
        <v>#VALUE!</v>
      </c>
      <c r="I163" s="47"/>
      <c r="J163" s="16">
        <f t="shared" ref="J163" si="785">+WEEKNUM(I163)</f>
        <v>0</v>
      </c>
      <c r="K163" s="45" t="str">
        <f t="shared" si="5"/>
        <v>sábado</v>
      </c>
      <c r="L163" s="22"/>
      <c r="M163" s="50"/>
      <c r="N163" s="52">
        <f t="shared" si="6"/>
        <v>0</v>
      </c>
      <c r="O163" s="52">
        <f t="shared" si="7"/>
        <v>0</v>
      </c>
      <c r="P163" s="53">
        <f t="shared" si="8"/>
        <v>0</v>
      </c>
      <c r="Q163" s="54" t="str">
        <f t="shared" ref="Q163" si="786">IF(G163="","",+$G163*$P163)</f>
        <v/>
      </c>
      <c r="R163" s="59" t="str">
        <f t="shared" si="10"/>
        <v/>
      </c>
      <c r="S163" s="23"/>
    </row>
    <row r="164" spans="1:19" s="44" customFormat="1">
      <c r="A164" s="15"/>
      <c r="B164" s="56"/>
      <c r="C164" s="18" t="str">
        <f>IF(B164="","",VLOOKUP(B164,'Tabla de proceso'!$B$6:$G$25,2,))</f>
        <v/>
      </c>
      <c r="D164" s="17" t="str">
        <f>IF(B164="","",VLOOKUP(B164,'Tabla de proceso'!$B$5:$G$25,3,0))</f>
        <v/>
      </c>
      <c r="E164" s="13" t="str">
        <f t="shared" ref="E164" si="787">D164</f>
        <v/>
      </c>
      <c r="F164" s="13" t="str">
        <f t="shared" ref="F164" si="788">IF(E164="","",+$E164/9)</f>
        <v/>
      </c>
      <c r="G164" s="13" t="str">
        <f t="shared" ref="G164" si="789">IF(E164="","",($E164/60)/9)</f>
        <v/>
      </c>
      <c r="H164" s="13" t="e">
        <f t="shared" si="3"/>
        <v>#VALUE!</v>
      </c>
      <c r="I164" s="47"/>
      <c r="J164" s="16">
        <f t="shared" ref="J164" si="790">+WEEKNUM(I164)</f>
        <v>0</v>
      </c>
      <c r="K164" s="45" t="str">
        <f t="shared" si="5"/>
        <v>sábado</v>
      </c>
      <c r="L164" s="22"/>
      <c r="M164" s="50"/>
      <c r="N164" s="52">
        <f t="shared" si="6"/>
        <v>0</v>
      </c>
      <c r="O164" s="52">
        <f t="shared" si="7"/>
        <v>0</v>
      </c>
      <c r="P164" s="53">
        <f t="shared" si="8"/>
        <v>0</v>
      </c>
      <c r="Q164" s="54" t="str">
        <f t="shared" ref="Q164" si="791">IF(G164="","",+$G164*$P164)</f>
        <v/>
      </c>
      <c r="R164" s="59" t="str">
        <f t="shared" si="10"/>
        <v/>
      </c>
      <c r="S164" s="23"/>
    </row>
    <row r="165" spans="1:19" s="44" customFormat="1">
      <c r="A165" s="15"/>
      <c r="B165" s="56"/>
      <c r="C165" s="18" t="str">
        <f>IF(B165="","",VLOOKUP(B165,'Tabla de proceso'!$B$6:$G$25,2,))</f>
        <v/>
      </c>
      <c r="D165" s="17" t="str">
        <f>IF(B165="","",VLOOKUP(B165,'Tabla de proceso'!$B$5:$G$25,3,0))</f>
        <v/>
      </c>
      <c r="E165" s="13" t="str">
        <f t="shared" ref="E165" si="792">D165</f>
        <v/>
      </c>
      <c r="F165" s="13" t="str">
        <f t="shared" ref="F165" si="793">IF(E165="","",+$E165/9)</f>
        <v/>
      </c>
      <c r="G165" s="13" t="str">
        <f t="shared" ref="G165" si="794">IF(E165="","",($E165/60)/9)</f>
        <v/>
      </c>
      <c r="H165" s="13" t="e">
        <f t="shared" si="3"/>
        <v>#VALUE!</v>
      </c>
      <c r="I165" s="47"/>
      <c r="J165" s="16">
        <f t="shared" ref="J165" si="795">+WEEKNUM(I165)</f>
        <v>0</v>
      </c>
      <c r="K165" s="45" t="str">
        <f t="shared" si="5"/>
        <v>sábado</v>
      </c>
      <c r="L165" s="22"/>
      <c r="M165" s="50"/>
      <c r="N165" s="52">
        <f t="shared" si="6"/>
        <v>0</v>
      </c>
      <c r="O165" s="52">
        <f t="shared" si="7"/>
        <v>0</v>
      </c>
      <c r="P165" s="53">
        <f t="shared" si="8"/>
        <v>0</v>
      </c>
      <c r="Q165" s="54" t="str">
        <f t="shared" ref="Q165" si="796">IF(G165="","",+$G165*$P165)</f>
        <v/>
      </c>
      <c r="R165" s="59" t="str">
        <f t="shared" si="10"/>
        <v/>
      </c>
      <c r="S165" s="23"/>
    </row>
    <row r="166" spans="1:19" s="44" customFormat="1">
      <c r="A166" s="15"/>
      <c r="B166" s="56"/>
      <c r="C166" s="18" t="str">
        <f>IF(B166="","",VLOOKUP(B166,'Tabla de proceso'!$B$6:$G$25,2,))</f>
        <v/>
      </c>
      <c r="D166" s="17" t="str">
        <f>IF(B166="","",VLOOKUP(B166,'Tabla de proceso'!$B$5:$G$25,3,0))</f>
        <v/>
      </c>
      <c r="E166" s="13" t="str">
        <f t="shared" ref="E166" si="797">D166</f>
        <v/>
      </c>
      <c r="F166" s="13" t="str">
        <f t="shared" ref="F166" si="798">IF(E166="","",+$E166/9)</f>
        <v/>
      </c>
      <c r="G166" s="13" t="str">
        <f t="shared" ref="G166" si="799">IF(E166="","",($E166/60)/9)</f>
        <v/>
      </c>
      <c r="H166" s="13" t="e">
        <f t="shared" si="3"/>
        <v>#VALUE!</v>
      </c>
      <c r="I166" s="47"/>
      <c r="J166" s="16">
        <f t="shared" ref="J166" si="800">+WEEKNUM(I166)</f>
        <v>0</v>
      </c>
      <c r="K166" s="45" t="str">
        <f t="shared" si="5"/>
        <v>sábado</v>
      </c>
      <c r="L166" s="22"/>
      <c r="M166" s="50"/>
      <c r="N166" s="52">
        <f t="shared" si="6"/>
        <v>0</v>
      </c>
      <c r="O166" s="52">
        <f t="shared" si="7"/>
        <v>0</v>
      </c>
      <c r="P166" s="53">
        <f t="shared" si="8"/>
        <v>0</v>
      </c>
      <c r="Q166" s="54" t="str">
        <f t="shared" ref="Q166" si="801">IF(G166="","",+$G166*$P166)</f>
        <v/>
      </c>
      <c r="R166" s="59" t="str">
        <f t="shared" si="10"/>
        <v/>
      </c>
      <c r="S166" s="23"/>
    </row>
    <row r="167" spans="1:19" s="44" customFormat="1">
      <c r="A167" s="15"/>
      <c r="B167" s="56"/>
      <c r="C167" s="18" t="str">
        <f>IF(B167="","",VLOOKUP(B167,'Tabla de proceso'!$B$6:$G$25,2,))</f>
        <v/>
      </c>
      <c r="D167" s="17" t="str">
        <f>IF(B167="","",VLOOKUP(B167,'Tabla de proceso'!$B$5:$G$25,3,0))</f>
        <v/>
      </c>
      <c r="E167" s="13" t="str">
        <f t="shared" ref="E167" si="802">D167</f>
        <v/>
      </c>
      <c r="F167" s="13" t="str">
        <f t="shared" ref="F167" si="803">IF(E167="","",+$E167/9)</f>
        <v/>
      </c>
      <c r="G167" s="13" t="str">
        <f t="shared" ref="G167" si="804">IF(E167="","",($E167/60)/9)</f>
        <v/>
      </c>
      <c r="H167" s="13" t="e">
        <f t="shared" si="3"/>
        <v>#VALUE!</v>
      </c>
      <c r="I167" s="47"/>
      <c r="J167" s="16">
        <f t="shared" ref="J167" si="805">+WEEKNUM(I167)</f>
        <v>0</v>
      </c>
      <c r="K167" s="45" t="str">
        <f t="shared" si="5"/>
        <v>sábado</v>
      </c>
      <c r="L167" s="22"/>
      <c r="M167" s="50"/>
      <c r="N167" s="52">
        <f t="shared" si="6"/>
        <v>0</v>
      </c>
      <c r="O167" s="52">
        <f t="shared" si="7"/>
        <v>0</v>
      </c>
      <c r="P167" s="53">
        <f t="shared" si="8"/>
        <v>0</v>
      </c>
      <c r="Q167" s="54" t="str">
        <f t="shared" ref="Q167" si="806">IF(G167="","",+$G167*$P167)</f>
        <v/>
      </c>
      <c r="R167" s="59" t="str">
        <f t="shared" si="10"/>
        <v/>
      </c>
      <c r="S167" s="23"/>
    </row>
  </sheetData>
  <protectedRanges>
    <protectedRange sqref="B6:B167" name="Rango1_36_1_2"/>
  </protectedRanges>
  <autoFilter ref="A5:S167"/>
  <mergeCells count="9">
    <mergeCell ref="G1:K1"/>
    <mergeCell ref="G2:K2"/>
    <mergeCell ref="G3:K3"/>
    <mergeCell ref="G4:K4"/>
    <mergeCell ref="A1:B4"/>
    <mergeCell ref="C1:F1"/>
    <mergeCell ref="C2:F2"/>
    <mergeCell ref="C3:F3"/>
    <mergeCell ref="C4:F4"/>
  </mergeCells>
  <phoneticPr fontId="5" type="noConversion"/>
  <conditionalFormatting sqref="R1:R5 R168:R1048576">
    <cfRule type="cellIs" dxfId="491" priority="1411" operator="between">
      <formula>0.91</formula>
      <formula>5</formula>
    </cfRule>
    <cfRule type="cellIs" dxfId="490" priority="1412" operator="between">
      <formula>0.8</formula>
      <formula>0.91</formula>
    </cfRule>
    <cfRule type="cellIs" dxfId="489" priority="1413" operator="between">
      <formula>0.01</formula>
      <formula>0.8</formula>
    </cfRule>
  </conditionalFormatting>
  <conditionalFormatting sqref="R166:R167">
    <cfRule type="cellIs" dxfId="488" priority="1024" operator="between">
      <formula>0.91</formula>
      <formula>5</formula>
    </cfRule>
    <cfRule type="cellIs" dxfId="487" priority="1025" operator="between">
      <formula>0.8</formula>
      <formula>0.91</formula>
    </cfRule>
    <cfRule type="cellIs" dxfId="486" priority="1026" operator="between">
      <formula>0.01</formula>
      <formula>0.8</formula>
    </cfRule>
  </conditionalFormatting>
  <conditionalFormatting sqref="R165">
    <cfRule type="cellIs" dxfId="485" priority="1021" operator="between">
      <formula>0.91</formula>
      <formula>5</formula>
    </cfRule>
    <cfRule type="cellIs" dxfId="484" priority="1022" operator="between">
      <formula>0.8</formula>
      <formula>0.91</formula>
    </cfRule>
    <cfRule type="cellIs" dxfId="483" priority="1023" operator="between">
      <formula>0.01</formula>
      <formula>0.8</formula>
    </cfRule>
  </conditionalFormatting>
  <conditionalFormatting sqref="R164">
    <cfRule type="cellIs" dxfId="482" priority="1018" operator="between">
      <formula>0.91</formula>
      <formula>5</formula>
    </cfRule>
    <cfRule type="cellIs" dxfId="481" priority="1019" operator="between">
      <formula>0.8</formula>
      <formula>0.91</formula>
    </cfRule>
    <cfRule type="cellIs" dxfId="480" priority="1020" operator="between">
      <formula>0.01</formula>
      <formula>0.8</formula>
    </cfRule>
  </conditionalFormatting>
  <conditionalFormatting sqref="R163">
    <cfRule type="cellIs" dxfId="479" priority="1015" operator="between">
      <formula>0.91</formula>
      <formula>5</formula>
    </cfRule>
    <cfRule type="cellIs" dxfId="478" priority="1016" operator="between">
      <formula>0.8</formula>
      <formula>0.91</formula>
    </cfRule>
    <cfRule type="cellIs" dxfId="477" priority="1017" operator="between">
      <formula>0.01</formula>
      <formula>0.8</formula>
    </cfRule>
  </conditionalFormatting>
  <conditionalFormatting sqref="R162">
    <cfRule type="cellIs" dxfId="476" priority="1012" operator="between">
      <formula>0.91</formula>
      <formula>5</formula>
    </cfRule>
    <cfRule type="cellIs" dxfId="475" priority="1013" operator="between">
      <formula>0.8</formula>
      <formula>0.91</formula>
    </cfRule>
    <cfRule type="cellIs" dxfId="474" priority="1014" operator="between">
      <formula>0.01</formula>
      <formula>0.8</formula>
    </cfRule>
  </conditionalFormatting>
  <conditionalFormatting sqref="R161">
    <cfRule type="cellIs" dxfId="473" priority="1009" operator="between">
      <formula>0.91</formula>
      <formula>5</formula>
    </cfRule>
    <cfRule type="cellIs" dxfId="472" priority="1010" operator="between">
      <formula>0.8</formula>
      <formula>0.91</formula>
    </cfRule>
    <cfRule type="cellIs" dxfId="471" priority="1011" operator="between">
      <formula>0.01</formula>
      <formula>0.8</formula>
    </cfRule>
  </conditionalFormatting>
  <conditionalFormatting sqref="R160">
    <cfRule type="cellIs" dxfId="470" priority="1006" operator="between">
      <formula>0.91</formula>
      <formula>5</formula>
    </cfRule>
    <cfRule type="cellIs" dxfId="469" priority="1007" operator="between">
      <formula>0.8</formula>
      <formula>0.91</formula>
    </cfRule>
    <cfRule type="cellIs" dxfId="468" priority="1008" operator="between">
      <formula>0.01</formula>
      <formula>0.8</formula>
    </cfRule>
  </conditionalFormatting>
  <conditionalFormatting sqref="R159">
    <cfRule type="cellIs" dxfId="467" priority="1003" operator="between">
      <formula>0.91</formula>
      <formula>5</formula>
    </cfRule>
    <cfRule type="cellIs" dxfId="466" priority="1004" operator="between">
      <formula>0.8</formula>
      <formula>0.91</formula>
    </cfRule>
    <cfRule type="cellIs" dxfId="465" priority="1005" operator="between">
      <formula>0.01</formula>
      <formula>0.8</formula>
    </cfRule>
  </conditionalFormatting>
  <conditionalFormatting sqref="R158">
    <cfRule type="cellIs" dxfId="464" priority="1000" operator="between">
      <formula>0.91</formula>
      <formula>5</formula>
    </cfRule>
    <cfRule type="cellIs" dxfId="463" priority="1001" operator="between">
      <formula>0.8</formula>
      <formula>0.91</formula>
    </cfRule>
    <cfRule type="cellIs" dxfId="462" priority="1002" operator="between">
      <formula>0.01</formula>
      <formula>0.8</formula>
    </cfRule>
  </conditionalFormatting>
  <conditionalFormatting sqref="R157">
    <cfRule type="cellIs" dxfId="461" priority="997" operator="between">
      <formula>0.91</formula>
      <formula>5</formula>
    </cfRule>
    <cfRule type="cellIs" dxfId="460" priority="998" operator="between">
      <formula>0.8</formula>
      <formula>0.91</formula>
    </cfRule>
    <cfRule type="cellIs" dxfId="459" priority="999" operator="between">
      <formula>0.01</formula>
      <formula>0.8</formula>
    </cfRule>
  </conditionalFormatting>
  <conditionalFormatting sqref="R156">
    <cfRule type="cellIs" dxfId="458" priority="991" operator="between">
      <formula>0.91</formula>
      <formula>5</formula>
    </cfRule>
    <cfRule type="cellIs" dxfId="457" priority="992" operator="between">
      <formula>0.8</formula>
      <formula>0.91</formula>
    </cfRule>
    <cfRule type="cellIs" dxfId="456" priority="993" operator="between">
      <formula>0.01</formula>
      <formula>0.8</formula>
    </cfRule>
  </conditionalFormatting>
  <conditionalFormatting sqref="R155">
    <cfRule type="cellIs" dxfId="455" priority="988" operator="between">
      <formula>0.91</formula>
      <formula>5</formula>
    </cfRule>
    <cfRule type="cellIs" dxfId="454" priority="989" operator="between">
      <formula>0.8</formula>
      <formula>0.91</formula>
    </cfRule>
    <cfRule type="cellIs" dxfId="453" priority="990" operator="between">
      <formula>0.01</formula>
      <formula>0.8</formula>
    </cfRule>
  </conditionalFormatting>
  <conditionalFormatting sqref="R154">
    <cfRule type="cellIs" dxfId="452" priority="985" operator="between">
      <formula>0.91</formula>
      <formula>5</formula>
    </cfRule>
    <cfRule type="cellIs" dxfId="451" priority="986" operator="between">
      <formula>0.8</formula>
      <formula>0.91</formula>
    </cfRule>
    <cfRule type="cellIs" dxfId="450" priority="987" operator="between">
      <formula>0.01</formula>
      <formula>0.8</formula>
    </cfRule>
  </conditionalFormatting>
  <conditionalFormatting sqref="R153">
    <cfRule type="cellIs" dxfId="449" priority="982" operator="between">
      <formula>0.91</formula>
      <formula>5</formula>
    </cfRule>
    <cfRule type="cellIs" dxfId="448" priority="983" operator="between">
      <formula>0.8</formula>
      <formula>0.91</formula>
    </cfRule>
    <cfRule type="cellIs" dxfId="447" priority="984" operator="between">
      <formula>0.01</formula>
      <formula>0.8</formula>
    </cfRule>
  </conditionalFormatting>
  <conditionalFormatting sqref="R152">
    <cfRule type="cellIs" dxfId="446" priority="979" operator="between">
      <formula>0.91</formula>
      <formula>5</formula>
    </cfRule>
    <cfRule type="cellIs" dxfId="445" priority="980" operator="between">
      <formula>0.8</formula>
      <formula>0.91</formula>
    </cfRule>
    <cfRule type="cellIs" dxfId="444" priority="981" operator="between">
      <formula>0.01</formula>
      <formula>0.8</formula>
    </cfRule>
  </conditionalFormatting>
  <conditionalFormatting sqref="R151">
    <cfRule type="cellIs" dxfId="443" priority="976" operator="between">
      <formula>0.91</formula>
      <formula>5</formula>
    </cfRule>
    <cfRule type="cellIs" dxfId="442" priority="977" operator="between">
      <formula>0.8</formula>
      <formula>0.91</formula>
    </cfRule>
    <cfRule type="cellIs" dxfId="441" priority="978" operator="between">
      <formula>0.01</formula>
      <formula>0.8</formula>
    </cfRule>
  </conditionalFormatting>
  <conditionalFormatting sqref="R150">
    <cfRule type="cellIs" dxfId="440" priority="973" operator="between">
      <formula>0.91</formula>
      <formula>5</formula>
    </cfRule>
    <cfRule type="cellIs" dxfId="439" priority="974" operator="between">
      <formula>0.8</formula>
      <formula>0.91</formula>
    </cfRule>
    <cfRule type="cellIs" dxfId="438" priority="975" operator="between">
      <formula>0.01</formula>
      <formula>0.8</formula>
    </cfRule>
  </conditionalFormatting>
  <conditionalFormatting sqref="R149">
    <cfRule type="cellIs" dxfId="437" priority="970" operator="between">
      <formula>0.91</formula>
      <formula>5</formula>
    </cfRule>
    <cfRule type="cellIs" dxfId="436" priority="971" operator="between">
      <formula>0.8</formula>
      <formula>0.91</formula>
    </cfRule>
    <cfRule type="cellIs" dxfId="435" priority="972" operator="between">
      <formula>0.01</formula>
      <formula>0.8</formula>
    </cfRule>
  </conditionalFormatting>
  <conditionalFormatting sqref="R148">
    <cfRule type="cellIs" dxfId="434" priority="967" operator="between">
      <formula>0.91</formula>
      <formula>5</formula>
    </cfRule>
    <cfRule type="cellIs" dxfId="433" priority="968" operator="between">
      <formula>0.8</formula>
      <formula>0.91</formula>
    </cfRule>
    <cfRule type="cellIs" dxfId="432" priority="969" operator="between">
      <formula>0.01</formula>
      <formula>0.8</formula>
    </cfRule>
  </conditionalFormatting>
  <conditionalFormatting sqref="R147">
    <cfRule type="cellIs" dxfId="431" priority="961" operator="between">
      <formula>0.91</formula>
      <formula>5</formula>
    </cfRule>
    <cfRule type="cellIs" dxfId="430" priority="962" operator="between">
      <formula>0.8</formula>
      <formula>0.91</formula>
    </cfRule>
    <cfRule type="cellIs" dxfId="429" priority="963" operator="between">
      <formula>0.01</formula>
      <formula>0.8</formula>
    </cfRule>
  </conditionalFormatting>
  <conditionalFormatting sqref="R146">
    <cfRule type="cellIs" dxfId="428" priority="958" operator="between">
      <formula>0.91</formula>
      <formula>5</formula>
    </cfRule>
    <cfRule type="cellIs" dxfId="427" priority="959" operator="between">
      <formula>0.8</formula>
      <formula>0.91</formula>
    </cfRule>
    <cfRule type="cellIs" dxfId="426" priority="960" operator="between">
      <formula>0.01</formula>
      <formula>0.8</formula>
    </cfRule>
  </conditionalFormatting>
  <conditionalFormatting sqref="R145">
    <cfRule type="cellIs" dxfId="425" priority="955" operator="between">
      <formula>0.91</formula>
      <formula>5</formula>
    </cfRule>
    <cfRule type="cellIs" dxfId="424" priority="956" operator="between">
      <formula>0.8</formula>
      <formula>0.91</formula>
    </cfRule>
    <cfRule type="cellIs" dxfId="423" priority="957" operator="between">
      <formula>0.01</formula>
      <formula>0.8</formula>
    </cfRule>
  </conditionalFormatting>
  <conditionalFormatting sqref="R144">
    <cfRule type="cellIs" dxfId="422" priority="952" operator="between">
      <formula>0.91</formula>
      <formula>5</formula>
    </cfRule>
    <cfRule type="cellIs" dxfId="421" priority="953" operator="between">
      <formula>0.8</formula>
      <formula>0.91</formula>
    </cfRule>
    <cfRule type="cellIs" dxfId="420" priority="954" operator="between">
      <formula>0.01</formula>
      <formula>0.8</formula>
    </cfRule>
  </conditionalFormatting>
  <conditionalFormatting sqref="R143">
    <cfRule type="cellIs" dxfId="419" priority="949" operator="between">
      <formula>0.91</formula>
      <formula>5</formula>
    </cfRule>
    <cfRule type="cellIs" dxfId="418" priority="950" operator="between">
      <formula>0.8</formula>
      <formula>0.91</formula>
    </cfRule>
    <cfRule type="cellIs" dxfId="417" priority="951" operator="between">
      <formula>0.01</formula>
      <formula>0.8</formula>
    </cfRule>
  </conditionalFormatting>
  <conditionalFormatting sqref="R142">
    <cfRule type="cellIs" dxfId="416" priority="946" operator="between">
      <formula>0.91</formula>
      <formula>5</formula>
    </cfRule>
    <cfRule type="cellIs" dxfId="415" priority="947" operator="between">
      <formula>0.8</formula>
      <formula>0.91</formula>
    </cfRule>
    <cfRule type="cellIs" dxfId="414" priority="948" operator="between">
      <formula>0.01</formula>
      <formula>0.8</formula>
    </cfRule>
  </conditionalFormatting>
  <conditionalFormatting sqref="R141">
    <cfRule type="cellIs" dxfId="413" priority="943" operator="between">
      <formula>0.91</formula>
      <formula>5</formula>
    </cfRule>
    <cfRule type="cellIs" dxfId="412" priority="944" operator="between">
      <formula>0.8</formula>
      <formula>0.91</formula>
    </cfRule>
    <cfRule type="cellIs" dxfId="411" priority="945" operator="between">
      <formula>0.01</formula>
      <formula>0.8</formula>
    </cfRule>
  </conditionalFormatting>
  <conditionalFormatting sqref="R140">
    <cfRule type="cellIs" dxfId="410" priority="940" operator="between">
      <formula>0.91</formula>
      <formula>5</formula>
    </cfRule>
    <cfRule type="cellIs" dxfId="409" priority="941" operator="between">
      <formula>0.8</formula>
      <formula>0.91</formula>
    </cfRule>
    <cfRule type="cellIs" dxfId="408" priority="942" operator="between">
      <formula>0.01</formula>
      <formula>0.8</formula>
    </cfRule>
  </conditionalFormatting>
  <conditionalFormatting sqref="R139">
    <cfRule type="cellIs" dxfId="407" priority="937" operator="between">
      <formula>0.91</formula>
      <formula>5</formula>
    </cfRule>
    <cfRule type="cellIs" dxfId="406" priority="938" operator="between">
      <formula>0.8</formula>
      <formula>0.91</formula>
    </cfRule>
    <cfRule type="cellIs" dxfId="405" priority="939" operator="between">
      <formula>0.01</formula>
      <formula>0.8</formula>
    </cfRule>
  </conditionalFormatting>
  <conditionalFormatting sqref="R138">
    <cfRule type="cellIs" dxfId="404" priority="934" operator="between">
      <formula>0.91</formula>
      <formula>5</formula>
    </cfRule>
    <cfRule type="cellIs" dxfId="403" priority="935" operator="between">
      <formula>0.8</formula>
      <formula>0.91</formula>
    </cfRule>
    <cfRule type="cellIs" dxfId="402" priority="936" operator="between">
      <formula>0.01</formula>
      <formula>0.8</formula>
    </cfRule>
  </conditionalFormatting>
  <conditionalFormatting sqref="R137">
    <cfRule type="cellIs" dxfId="401" priority="931" operator="between">
      <formula>0.91</formula>
      <formula>5</formula>
    </cfRule>
    <cfRule type="cellIs" dxfId="400" priority="932" operator="between">
      <formula>0.8</formula>
      <formula>0.91</formula>
    </cfRule>
    <cfRule type="cellIs" dxfId="399" priority="933" operator="between">
      <formula>0.01</formula>
      <formula>0.8</formula>
    </cfRule>
  </conditionalFormatting>
  <conditionalFormatting sqref="R136">
    <cfRule type="cellIs" dxfId="398" priority="928" operator="between">
      <formula>0.91</formula>
      <formula>5</formula>
    </cfRule>
    <cfRule type="cellIs" dxfId="397" priority="929" operator="between">
      <formula>0.8</formula>
      <formula>0.91</formula>
    </cfRule>
    <cfRule type="cellIs" dxfId="396" priority="930" operator="between">
      <formula>0.01</formula>
      <formula>0.8</formula>
    </cfRule>
  </conditionalFormatting>
  <conditionalFormatting sqref="R135">
    <cfRule type="cellIs" dxfId="395" priority="925" operator="between">
      <formula>0.91</formula>
      <formula>5</formula>
    </cfRule>
    <cfRule type="cellIs" dxfId="394" priority="926" operator="between">
      <formula>0.8</formula>
      <formula>0.91</formula>
    </cfRule>
    <cfRule type="cellIs" dxfId="393" priority="927" operator="between">
      <formula>0.01</formula>
      <formula>0.8</formula>
    </cfRule>
  </conditionalFormatting>
  <conditionalFormatting sqref="R134">
    <cfRule type="cellIs" dxfId="392" priority="922" operator="between">
      <formula>0.91</formula>
      <formula>5</formula>
    </cfRule>
    <cfRule type="cellIs" dxfId="391" priority="923" operator="between">
      <formula>0.8</formula>
      <formula>0.91</formula>
    </cfRule>
    <cfRule type="cellIs" dxfId="390" priority="924" operator="between">
      <formula>0.01</formula>
      <formula>0.8</formula>
    </cfRule>
  </conditionalFormatting>
  <conditionalFormatting sqref="R133">
    <cfRule type="cellIs" dxfId="389" priority="919" operator="between">
      <formula>0.91</formula>
      <formula>5</formula>
    </cfRule>
    <cfRule type="cellIs" dxfId="388" priority="920" operator="between">
      <formula>0.8</formula>
      <formula>0.91</formula>
    </cfRule>
    <cfRule type="cellIs" dxfId="387" priority="921" operator="between">
      <formula>0.01</formula>
      <formula>0.8</formula>
    </cfRule>
  </conditionalFormatting>
  <conditionalFormatting sqref="R132">
    <cfRule type="cellIs" dxfId="386" priority="916" operator="between">
      <formula>0.91</formula>
      <formula>5</formula>
    </cfRule>
    <cfRule type="cellIs" dxfId="385" priority="917" operator="between">
      <formula>0.8</formula>
      <formula>0.91</formula>
    </cfRule>
    <cfRule type="cellIs" dxfId="384" priority="918" operator="between">
      <formula>0.01</formula>
      <formula>0.8</formula>
    </cfRule>
  </conditionalFormatting>
  <conditionalFormatting sqref="R131">
    <cfRule type="cellIs" dxfId="383" priority="913" operator="between">
      <formula>0.91</formula>
      <formula>5</formula>
    </cfRule>
    <cfRule type="cellIs" dxfId="382" priority="914" operator="between">
      <formula>0.8</formula>
      <formula>0.91</formula>
    </cfRule>
    <cfRule type="cellIs" dxfId="381" priority="915" operator="between">
      <formula>0.01</formula>
      <formula>0.8</formula>
    </cfRule>
  </conditionalFormatting>
  <conditionalFormatting sqref="R130">
    <cfRule type="cellIs" dxfId="380" priority="910" operator="between">
      <formula>0.91</formula>
      <formula>5</formula>
    </cfRule>
    <cfRule type="cellIs" dxfId="379" priority="911" operator="between">
      <formula>0.8</formula>
      <formula>0.91</formula>
    </cfRule>
    <cfRule type="cellIs" dxfId="378" priority="912" operator="between">
      <formula>0.01</formula>
      <formula>0.8</formula>
    </cfRule>
  </conditionalFormatting>
  <conditionalFormatting sqref="R129">
    <cfRule type="cellIs" dxfId="377" priority="907" operator="between">
      <formula>0.91</formula>
      <formula>5</formula>
    </cfRule>
    <cfRule type="cellIs" dxfId="376" priority="908" operator="between">
      <formula>0.8</formula>
      <formula>0.91</formula>
    </cfRule>
    <cfRule type="cellIs" dxfId="375" priority="909" operator="between">
      <formula>0.01</formula>
      <formula>0.8</formula>
    </cfRule>
  </conditionalFormatting>
  <conditionalFormatting sqref="R128">
    <cfRule type="cellIs" dxfId="374" priority="904" operator="between">
      <formula>0.91</formula>
      <formula>5</formula>
    </cfRule>
    <cfRule type="cellIs" dxfId="373" priority="905" operator="between">
      <formula>0.8</formula>
      <formula>0.91</formula>
    </cfRule>
    <cfRule type="cellIs" dxfId="372" priority="906" operator="between">
      <formula>0.01</formula>
      <formula>0.8</formula>
    </cfRule>
  </conditionalFormatting>
  <conditionalFormatting sqref="R127">
    <cfRule type="cellIs" dxfId="371" priority="901" operator="between">
      <formula>0.91</formula>
      <formula>5</formula>
    </cfRule>
    <cfRule type="cellIs" dxfId="370" priority="902" operator="between">
      <formula>0.8</formula>
      <formula>0.91</formula>
    </cfRule>
    <cfRule type="cellIs" dxfId="369" priority="903" operator="between">
      <formula>0.01</formula>
      <formula>0.8</formula>
    </cfRule>
  </conditionalFormatting>
  <conditionalFormatting sqref="R126">
    <cfRule type="cellIs" dxfId="368" priority="898" operator="between">
      <formula>0.91</formula>
      <formula>5</formula>
    </cfRule>
    <cfRule type="cellIs" dxfId="367" priority="899" operator="between">
      <formula>0.8</formula>
      <formula>0.91</formula>
    </cfRule>
    <cfRule type="cellIs" dxfId="366" priority="900" operator="between">
      <formula>0.01</formula>
      <formula>0.8</formula>
    </cfRule>
  </conditionalFormatting>
  <conditionalFormatting sqref="R125">
    <cfRule type="cellIs" dxfId="365" priority="895" operator="between">
      <formula>0.91</formula>
      <formula>5</formula>
    </cfRule>
    <cfRule type="cellIs" dxfId="364" priority="896" operator="between">
      <formula>0.8</formula>
      <formula>0.91</formula>
    </cfRule>
    <cfRule type="cellIs" dxfId="363" priority="897" operator="between">
      <formula>0.01</formula>
      <formula>0.8</formula>
    </cfRule>
  </conditionalFormatting>
  <conditionalFormatting sqref="R124">
    <cfRule type="cellIs" dxfId="362" priority="892" operator="between">
      <formula>0.91</formula>
      <formula>5</formula>
    </cfRule>
    <cfRule type="cellIs" dxfId="361" priority="893" operator="between">
      <formula>0.8</formula>
      <formula>0.91</formula>
    </cfRule>
    <cfRule type="cellIs" dxfId="360" priority="894" operator="between">
      <formula>0.01</formula>
      <formula>0.8</formula>
    </cfRule>
  </conditionalFormatting>
  <conditionalFormatting sqref="R123">
    <cfRule type="cellIs" dxfId="359" priority="889" operator="between">
      <formula>0.91</formula>
      <formula>5</formula>
    </cfRule>
    <cfRule type="cellIs" dxfId="358" priority="890" operator="between">
      <formula>0.8</formula>
      <formula>0.91</formula>
    </cfRule>
    <cfRule type="cellIs" dxfId="357" priority="891" operator="between">
      <formula>0.01</formula>
      <formula>0.8</formula>
    </cfRule>
  </conditionalFormatting>
  <conditionalFormatting sqref="R122">
    <cfRule type="cellIs" dxfId="356" priority="886" operator="between">
      <formula>0.91</formula>
      <formula>5</formula>
    </cfRule>
    <cfRule type="cellIs" dxfId="355" priority="887" operator="between">
      <formula>0.8</formula>
      <formula>0.91</formula>
    </cfRule>
    <cfRule type="cellIs" dxfId="354" priority="888" operator="between">
      <formula>0.01</formula>
      <formula>0.8</formula>
    </cfRule>
  </conditionalFormatting>
  <conditionalFormatting sqref="R121">
    <cfRule type="cellIs" dxfId="353" priority="883" operator="between">
      <formula>0.91</formula>
      <formula>5</formula>
    </cfRule>
    <cfRule type="cellIs" dxfId="352" priority="884" operator="between">
      <formula>0.8</formula>
      <formula>0.91</formula>
    </cfRule>
    <cfRule type="cellIs" dxfId="351" priority="885" operator="between">
      <formula>0.01</formula>
      <formula>0.8</formula>
    </cfRule>
  </conditionalFormatting>
  <conditionalFormatting sqref="R120">
    <cfRule type="cellIs" dxfId="350" priority="880" operator="between">
      <formula>0.91</formula>
      <formula>5</formula>
    </cfRule>
    <cfRule type="cellIs" dxfId="349" priority="881" operator="between">
      <formula>0.8</formula>
      <formula>0.91</formula>
    </cfRule>
    <cfRule type="cellIs" dxfId="348" priority="882" operator="between">
      <formula>0.01</formula>
      <formula>0.8</formula>
    </cfRule>
  </conditionalFormatting>
  <conditionalFormatting sqref="R119">
    <cfRule type="cellIs" dxfId="347" priority="877" operator="between">
      <formula>0.91</formula>
      <formula>5</formula>
    </cfRule>
    <cfRule type="cellIs" dxfId="346" priority="878" operator="between">
      <formula>0.8</formula>
      <formula>0.91</formula>
    </cfRule>
    <cfRule type="cellIs" dxfId="345" priority="879" operator="between">
      <formula>0.01</formula>
      <formula>0.8</formula>
    </cfRule>
  </conditionalFormatting>
  <conditionalFormatting sqref="R118">
    <cfRule type="cellIs" dxfId="344" priority="874" operator="between">
      <formula>0.91</formula>
      <formula>5</formula>
    </cfRule>
    <cfRule type="cellIs" dxfId="343" priority="875" operator="between">
      <formula>0.8</formula>
      <formula>0.91</formula>
    </cfRule>
    <cfRule type="cellIs" dxfId="342" priority="876" operator="between">
      <formula>0.01</formula>
      <formula>0.8</formula>
    </cfRule>
  </conditionalFormatting>
  <conditionalFormatting sqref="R117">
    <cfRule type="cellIs" dxfId="341" priority="871" operator="between">
      <formula>0.91</formula>
      <formula>5</formula>
    </cfRule>
    <cfRule type="cellIs" dxfId="340" priority="872" operator="between">
      <formula>0.8</formula>
      <formula>0.91</formula>
    </cfRule>
    <cfRule type="cellIs" dxfId="339" priority="873" operator="between">
      <formula>0.01</formula>
      <formula>0.8</formula>
    </cfRule>
  </conditionalFormatting>
  <conditionalFormatting sqref="R116">
    <cfRule type="cellIs" dxfId="338" priority="868" operator="between">
      <formula>0.91</formula>
      <formula>5</formula>
    </cfRule>
    <cfRule type="cellIs" dxfId="337" priority="869" operator="between">
      <formula>0.8</formula>
      <formula>0.91</formula>
    </cfRule>
    <cfRule type="cellIs" dxfId="336" priority="870" operator="between">
      <formula>0.01</formula>
      <formula>0.8</formula>
    </cfRule>
  </conditionalFormatting>
  <conditionalFormatting sqref="R115">
    <cfRule type="cellIs" dxfId="335" priority="862" operator="between">
      <formula>0.91</formula>
      <formula>5</formula>
    </cfRule>
    <cfRule type="cellIs" dxfId="334" priority="863" operator="between">
      <formula>0.8</formula>
      <formula>0.91</formula>
    </cfRule>
    <cfRule type="cellIs" dxfId="333" priority="864" operator="between">
      <formula>0.01</formula>
      <formula>0.8</formula>
    </cfRule>
  </conditionalFormatting>
  <conditionalFormatting sqref="R114">
    <cfRule type="cellIs" dxfId="332" priority="859" operator="between">
      <formula>0.91</formula>
      <formula>5</formula>
    </cfRule>
    <cfRule type="cellIs" dxfId="331" priority="860" operator="between">
      <formula>0.8</formula>
      <formula>0.91</formula>
    </cfRule>
    <cfRule type="cellIs" dxfId="330" priority="861" operator="between">
      <formula>0.01</formula>
      <formula>0.8</formula>
    </cfRule>
  </conditionalFormatting>
  <conditionalFormatting sqref="R113">
    <cfRule type="cellIs" dxfId="329" priority="856" operator="between">
      <formula>0.91</formula>
      <formula>5</formula>
    </cfRule>
    <cfRule type="cellIs" dxfId="328" priority="857" operator="between">
      <formula>0.8</formula>
      <formula>0.91</formula>
    </cfRule>
    <cfRule type="cellIs" dxfId="327" priority="858" operator="between">
      <formula>0.01</formula>
      <formula>0.8</formula>
    </cfRule>
  </conditionalFormatting>
  <conditionalFormatting sqref="R112">
    <cfRule type="cellIs" dxfId="326" priority="853" operator="between">
      <formula>0.91</formula>
      <formula>5</formula>
    </cfRule>
    <cfRule type="cellIs" dxfId="325" priority="854" operator="between">
      <formula>0.8</formula>
      <formula>0.91</formula>
    </cfRule>
    <cfRule type="cellIs" dxfId="324" priority="855" operator="between">
      <formula>0.01</formula>
      <formula>0.8</formula>
    </cfRule>
  </conditionalFormatting>
  <conditionalFormatting sqref="R111">
    <cfRule type="cellIs" dxfId="323" priority="850" operator="between">
      <formula>0.91</formula>
      <formula>5</formula>
    </cfRule>
    <cfRule type="cellIs" dxfId="322" priority="851" operator="between">
      <formula>0.8</formula>
      <formula>0.91</formula>
    </cfRule>
    <cfRule type="cellIs" dxfId="321" priority="852" operator="between">
      <formula>0.01</formula>
      <formula>0.8</formula>
    </cfRule>
  </conditionalFormatting>
  <conditionalFormatting sqref="R110">
    <cfRule type="cellIs" dxfId="320" priority="847" operator="between">
      <formula>0.91</formula>
      <formula>5</formula>
    </cfRule>
    <cfRule type="cellIs" dxfId="319" priority="848" operator="between">
      <formula>0.8</formula>
      <formula>0.91</formula>
    </cfRule>
    <cfRule type="cellIs" dxfId="318" priority="849" operator="between">
      <formula>0.01</formula>
      <formula>0.8</formula>
    </cfRule>
  </conditionalFormatting>
  <conditionalFormatting sqref="R109">
    <cfRule type="cellIs" dxfId="317" priority="844" operator="between">
      <formula>0.91</formula>
      <formula>5</formula>
    </cfRule>
    <cfRule type="cellIs" dxfId="316" priority="845" operator="between">
      <formula>0.8</formula>
      <formula>0.91</formula>
    </cfRule>
    <cfRule type="cellIs" dxfId="315" priority="846" operator="between">
      <formula>0.01</formula>
      <formula>0.8</formula>
    </cfRule>
  </conditionalFormatting>
  <conditionalFormatting sqref="R108">
    <cfRule type="cellIs" dxfId="314" priority="841" operator="between">
      <formula>0.91</formula>
      <formula>5</formula>
    </cfRule>
    <cfRule type="cellIs" dxfId="313" priority="842" operator="between">
      <formula>0.8</formula>
      <formula>0.91</formula>
    </cfRule>
    <cfRule type="cellIs" dxfId="312" priority="843" operator="between">
      <formula>0.01</formula>
      <formula>0.8</formula>
    </cfRule>
  </conditionalFormatting>
  <conditionalFormatting sqref="R107">
    <cfRule type="cellIs" dxfId="311" priority="838" operator="between">
      <formula>0.91</formula>
      <formula>5</formula>
    </cfRule>
    <cfRule type="cellIs" dxfId="310" priority="839" operator="between">
      <formula>0.8</formula>
      <formula>0.91</formula>
    </cfRule>
    <cfRule type="cellIs" dxfId="309" priority="840" operator="between">
      <formula>0.01</formula>
      <formula>0.8</formula>
    </cfRule>
  </conditionalFormatting>
  <conditionalFormatting sqref="R106">
    <cfRule type="cellIs" dxfId="308" priority="835" operator="between">
      <formula>0.91</formula>
      <formula>5</formula>
    </cfRule>
    <cfRule type="cellIs" dxfId="307" priority="836" operator="between">
      <formula>0.8</formula>
      <formula>0.91</formula>
    </cfRule>
    <cfRule type="cellIs" dxfId="306" priority="837" operator="between">
      <formula>0.01</formula>
      <formula>0.8</formula>
    </cfRule>
  </conditionalFormatting>
  <conditionalFormatting sqref="R105">
    <cfRule type="cellIs" dxfId="305" priority="832" operator="between">
      <formula>0.91</formula>
      <formula>5</formula>
    </cfRule>
    <cfRule type="cellIs" dxfId="304" priority="833" operator="between">
      <formula>0.8</formula>
      <formula>0.91</formula>
    </cfRule>
    <cfRule type="cellIs" dxfId="303" priority="834" operator="between">
      <formula>0.01</formula>
      <formula>0.8</formula>
    </cfRule>
  </conditionalFormatting>
  <conditionalFormatting sqref="R104">
    <cfRule type="cellIs" dxfId="302" priority="829" operator="between">
      <formula>0.91</formula>
      <formula>5</formula>
    </cfRule>
    <cfRule type="cellIs" dxfId="301" priority="830" operator="between">
      <formula>0.8</formula>
      <formula>0.91</formula>
    </cfRule>
    <cfRule type="cellIs" dxfId="300" priority="831" operator="between">
      <formula>0.01</formula>
      <formula>0.8</formula>
    </cfRule>
  </conditionalFormatting>
  <conditionalFormatting sqref="R103">
    <cfRule type="cellIs" dxfId="299" priority="826" operator="between">
      <formula>0.91</formula>
      <formula>5</formula>
    </cfRule>
    <cfRule type="cellIs" dxfId="298" priority="827" operator="between">
      <formula>0.8</formula>
      <formula>0.91</formula>
    </cfRule>
    <cfRule type="cellIs" dxfId="297" priority="828" operator="between">
      <formula>0.01</formula>
      <formula>0.8</formula>
    </cfRule>
  </conditionalFormatting>
  <conditionalFormatting sqref="R102">
    <cfRule type="cellIs" dxfId="296" priority="823" operator="between">
      <formula>0.91</formula>
      <formula>5</formula>
    </cfRule>
    <cfRule type="cellIs" dxfId="295" priority="824" operator="between">
      <formula>0.8</formula>
      <formula>0.91</formula>
    </cfRule>
    <cfRule type="cellIs" dxfId="294" priority="825" operator="between">
      <formula>0.01</formula>
      <formula>0.8</formula>
    </cfRule>
  </conditionalFormatting>
  <conditionalFormatting sqref="R101">
    <cfRule type="cellIs" dxfId="293" priority="820" operator="between">
      <formula>0.91</formula>
      <formula>5</formula>
    </cfRule>
    <cfRule type="cellIs" dxfId="292" priority="821" operator="between">
      <formula>0.8</formula>
      <formula>0.91</formula>
    </cfRule>
    <cfRule type="cellIs" dxfId="291" priority="822" operator="between">
      <formula>0.01</formula>
      <formula>0.8</formula>
    </cfRule>
  </conditionalFormatting>
  <conditionalFormatting sqref="R100">
    <cfRule type="cellIs" dxfId="290" priority="817" operator="between">
      <formula>0.91</formula>
      <formula>5</formula>
    </cfRule>
    <cfRule type="cellIs" dxfId="289" priority="818" operator="between">
      <formula>0.8</formula>
      <formula>0.91</formula>
    </cfRule>
    <cfRule type="cellIs" dxfId="288" priority="819" operator="between">
      <formula>0.01</formula>
      <formula>0.8</formula>
    </cfRule>
  </conditionalFormatting>
  <conditionalFormatting sqref="R99">
    <cfRule type="cellIs" dxfId="287" priority="814" operator="between">
      <formula>0.91</formula>
      <formula>5</formula>
    </cfRule>
    <cfRule type="cellIs" dxfId="286" priority="815" operator="between">
      <formula>0.8</formula>
      <formula>0.91</formula>
    </cfRule>
    <cfRule type="cellIs" dxfId="285" priority="816" operator="between">
      <formula>0.01</formula>
      <formula>0.8</formula>
    </cfRule>
  </conditionalFormatting>
  <conditionalFormatting sqref="R98">
    <cfRule type="cellIs" dxfId="284" priority="811" operator="between">
      <formula>0.91</formula>
      <formula>5</formula>
    </cfRule>
    <cfRule type="cellIs" dxfId="283" priority="812" operator="between">
      <formula>0.8</formula>
      <formula>0.91</formula>
    </cfRule>
    <cfRule type="cellIs" dxfId="282" priority="813" operator="between">
      <formula>0.01</formula>
      <formula>0.8</formula>
    </cfRule>
  </conditionalFormatting>
  <conditionalFormatting sqref="R97">
    <cfRule type="cellIs" dxfId="281" priority="808" operator="between">
      <formula>0.91</formula>
      <formula>5</formula>
    </cfRule>
    <cfRule type="cellIs" dxfId="280" priority="809" operator="between">
      <formula>0.8</formula>
      <formula>0.91</formula>
    </cfRule>
    <cfRule type="cellIs" dxfId="279" priority="810" operator="between">
      <formula>0.01</formula>
      <formula>0.8</formula>
    </cfRule>
  </conditionalFormatting>
  <conditionalFormatting sqref="R96">
    <cfRule type="cellIs" dxfId="278" priority="805" operator="between">
      <formula>0.91</formula>
      <formula>5</formula>
    </cfRule>
    <cfRule type="cellIs" dxfId="277" priority="806" operator="between">
      <formula>0.8</formula>
      <formula>0.91</formula>
    </cfRule>
    <cfRule type="cellIs" dxfId="276" priority="807" operator="between">
      <formula>0.01</formula>
      <formula>0.8</formula>
    </cfRule>
  </conditionalFormatting>
  <conditionalFormatting sqref="R95">
    <cfRule type="cellIs" dxfId="275" priority="802" operator="between">
      <formula>0.91</formula>
      <formula>5</formula>
    </cfRule>
    <cfRule type="cellIs" dxfId="274" priority="803" operator="between">
      <formula>0.8</formula>
      <formula>0.91</formula>
    </cfRule>
    <cfRule type="cellIs" dxfId="273" priority="804" operator="between">
      <formula>0.01</formula>
      <formula>0.8</formula>
    </cfRule>
  </conditionalFormatting>
  <conditionalFormatting sqref="R94">
    <cfRule type="cellIs" dxfId="272" priority="799" operator="between">
      <formula>0.91</formula>
      <formula>5</formula>
    </cfRule>
    <cfRule type="cellIs" dxfId="271" priority="800" operator="between">
      <formula>0.8</formula>
      <formula>0.91</formula>
    </cfRule>
    <cfRule type="cellIs" dxfId="270" priority="801" operator="between">
      <formula>0.01</formula>
      <formula>0.8</formula>
    </cfRule>
  </conditionalFormatting>
  <conditionalFormatting sqref="R93">
    <cfRule type="cellIs" dxfId="269" priority="796" operator="between">
      <formula>0.91</formula>
      <formula>5</formula>
    </cfRule>
    <cfRule type="cellIs" dxfId="268" priority="797" operator="between">
      <formula>0.8</formula>
      <formula>0.91</formula>
    </cfRule>
    <cfRule type="cellIs" dxfId="267" priority="798" operator="between">
      <formula>0.01</formula>
      <formula>0.8</formula>
    </cfRule>
  </conditionalFormatting>
  <conditionalFormatting sqref="R92">
    <cfRule type="cellIs" dxfId="266" priority="793" operator="between">
      <formula>0.91</formula>
      <formula>5</formula>
    </cfRule>
    <cfRule type="cellIs" dxfId="265" priority="794" operator="between">
      <formula>0.8</formula>
      <formula>0.91</formula>
    </cfRule>
    <cfRule type="cellIs" dxfId="264" priority="795" operator="between">
      <formula>0.01</formula>
      <formula>0.8</formula>
    </cfRule>
  </conditionalFormatting>
  <conditionalFormatting sqref="R90:R91">
    <cfRule type="cellIs" dxfId="263" priority="790" operator="between">
      <formula>0.91</formula>
      <formula>5</formula>
    </cfRule>
    <cfRule type="cellIs" dxfId="262" priority="791" operator="between">
      <formula>0.8</formula>
      <formula>0.91</formula>
    </cfRule>
    <cfRule type="cellIs" dxfId="261" priority="792" operator="between">
      <formula>0.01</formula>
      <formula>0.8</formula>
    </cfRule>
  </conditionalFormatting>
  <conditionalFormatting sqref="R89">
    <cfRule type="cellIs" dxfId="260" priority="787" operator="between">
      <formula>0.91</formula>
      <formula>5</formula>
    </cfRule>
    <cfRule type="cellIs" dxfId="259" priority="788" operator="between">
      <formula>0.8</formula>
      <formula>0.91</formula>
    </cfRule>
    <cfRule type="cellIs" dxfId="258" priority="789" operator="between">
      <formula>0.01</formula>
      <formula>0.8</formula>
    </cfRule>
  </conditionalFormatting>
  <conditionalFormatting sqref="R88">
    <cfRule type="cellIs" dxfId="257" priority="784" operator="between">
      <formula>0.91</formula>
      <formula>5</formula>
    </cfRule>
    <cfRule type="cellIs" dxfId="256" priority="785" operator="between">
      <formula>0.8</formula>
      <formula>0.91</formula>
    </cfRule>
    <cfRule type="cellIs" dxfId="255" priority="786" operator="between">
      <formula>0.01</formula>
      <formula>0.8</formula>
    </cfRule>
  </conditionalFormatting>
  <conditionalFormatting sqref="R87">
    <cfRule type="cellIs" dxfId="254" priority="781" operator="between">
      <formula>0.91</formula>
      <formula>5</formula>
    </cfRule>
    <cfRule type="cellIs" dxfId="253" priority="782" operator="between">
      <formula>0.8</formula>
      <formula>0.91</formula>
    </cfRule>
    <cfRule type="cellIs" dxfId="252" priority="783" operator="between">
      <formula>0.01</formula>
      <formula>0.8</formula>
    </cfRule>
  </conditionalFormatting>
  <conditionalFormatting sqref="R86">
    <cfRule type="cellIs" dxfId="251" priority="778" operator="between">
      <formula>0.91</formula>
      <formula>5</formula>
    </cfRule>
    <cfRule type="cellIs" dxfId="250" priority="779" operator="between">
      <formula>0.8</formula>
      <formula>0.91</formula>
    </cfRule>
    <cfRule type="cellIs" dxfId="249" priority="780" operator="between">
      <formula>0.01</formula>
      <formula>0.8</formula>
    </cfRule>
  </conditionalFormatting>
  <conditionalFormatting sqref="R85">
    <cfRule type="cellIs" dxfId="248" priority="775" operator="between">
      <formula>0.91</formula>
      <formula>5</formula>
    </cfRule>
    <cfRule type="cellIs" dxfId="247" priority="776" operator="between">
      <formula>0.8</formula>
      <formula>0.91</formula>
    </cfRule>
    <cfRule type="cellIs" dxfId="246" priority="777" operator="between">
      <formula>0.01</formula>
      <formula>0.8</formula>
    </cfRule>
  </conditionalFormatting>
  <conditionalFormatting sqref="R84">
    <cfRule type="cellIs" dxfId="245" priority="772" operator="between">
      <formula>0.91</formula>
      <formula>5</formula>
    </cfRule>
    <cfRule type="cellIs" dxfId="244" priority="773" operator="between">
      <formula>0.8</formula>
      <formula>0.91</formula>
    </cfRule>
    <cfRule type="cellIs" dxfId="243" priority="774" operator="between">
      <formula>0.01</formula>
      <formula>0.8</formula>
    </cfRule>
  </conditionalFormatting>
  <conditionalFormatting sqref="R83">
    <cfRule type="cellIs" dxfId="242" priority="769" operator="between">
      <formula>0.91</formula>
      <formula>5</formula>
    </cfRule>
    <cfRule type="cellIs" dxfId="241" priority="770" operator="between">
      <formula>0.8</formula>
      <formula>0.91</formula>
    </cfRule>
    <cfRule type="cellIs" dxfId="240" priority="771" operator="between">
      <formula>0.01</formula>
      <formula>0.8</formula>
    </cfRule>
  </conditionalFormatting>
  <conditionalFormatting sqref="R82">
    <cfRule type="cellIs" dxfId="239" priority="766" operator="between">
      <formula>0.91</formula>
      <formula>5</formula>
    </cfRule>
    <cfRule type="cellIs" dxfId="238" priority="767" operator="between">
      <formula>0.8</formula>
      <formula>0.91</formula>
    </cfRule>
    <cfRule type="cellIs" dxfId="237" priority="768" operator="between">
      <formula>0.01</formula>
      <formula>0.8</formula>
    </cfRule>
  </conditionalFormatting>
  <conditionalFormatting sqref="R81">
    <cfRule type="cellIs" dxfId="236" priority="763" operator="between">
      <formula>0.91</formula>
      <formula>5</formula>
    </cfRule>
    <cfRule type="cellIs" dxfId="235" priority="764" operator="between">
      <formula>0.8</formula>
      <formula>0.91</formula>
    </cfRule>
    <cfRule type="cellIs" dxfId="234" priority="765" operator="between">
      <formula>0.01</formula>
      <formula>0.8</formula>
    </cfRule>
  </conditionalFormatting>
  <conditionalFormatting sqref="R80">
    <cfRule type="cellIs" dxfId="233" priority="760" operator="between">
      <formula>0.91</formula>
      <formula>5</formula>
    </cfRule>
    <cfRule type="cellIs" dxfId="232" priority="761" operator="between">
      <formula>0.8</formula>
      <formula>0.91</formula>
    </cfRule>
    <cfRule type="cellIs" dxfId="231" priority="762" operator="between">
      <formula>0.01</formula>
      <formula>0.8</formula>
    </cfRule>
  </conditionalFormatting>
  <conditionalFormatting sqref="R79">
    <cfRule type="cellIs" dxfId="230" priority="757" operator="between">
      <formula>0.91</formula>
      <formula>5</formula>
    </cfRule>
    <cfRule type="cellIs" dxfId="229" priority="758" operator="between">
      <formula>0.8</formula>
      <formula>0.91</formula>
    </cfRule>
    <cfRule type="cellIs" dxfId="228" priority="759" operator="between">
      <formula>0.01</formula>
      <formula>0.8</formula>
    </cfRule>
  </conditionalFormatting>
  <conditionalFormatting sqref="R77:R78">
    <cfRule type="cellIs" dxfId="227" priority="754" operator="between">
      <formula>0.91</formula>
      <formula>5</formula>
    </cfRule>
    <cfRule type="cellIs" dxfId="226" priority="755" operator="between">
      <formula>0.8</formula>
      <formula>0.91</formula>
    </cfRule>
    <cfRule type="cellIs" dxfId="225" priority="756" operator="between">
      <formula>0.01</formula>
      <formula>0.8</formula>
    </cfRule>
  </conditionalFormatting>
  <conditionalFormatting sqref="R76">
    <cfRule type="cellIs" dxfId="224" priority="751" operator="between">
      <formula>0.91</formula>
      <formula>5</formula>
    </cfRule>
    <cfRule type="cellIs" dxfId="223" priority="752" operator="between">
      <formula>0.8</formula>
      <formula>0.91</formula>
    </cfRule>
    <cfRule type="cellIs" dxfId="222" priority="753" operator="between">
      <formula>0.01</formula>
      <formula>0.8</formula>
    </cfRule>
  </conditionalFormatting>
  <conditionalFormatting sqref="R75">
    <cfRule type="cellIs" dxfId="221" priority="748" operator="between">
      <formula>0.91</formula>
      <formula>5</formula>
    </cfRule>
    <cfRule type="cellIs" dxfId="220" priority="749" operator="between">
      <formula>0.8</formula>
      <formula>0.91</formula>
    </cfRule>
    <cfRule type="cellIs" dxfId="219" priority="750" operator="between">
      <formula>0.01</formula>
      <formula>0.8</formula>
    </cfRule>
  </conditionalFormatting>
  <conditionalFormatting sqref="R74">
    <cfRule type="cellIs" dxfId="218" priority="745" operator="between">
      <formula>0.91</formula>
      <formula>5</formula>
    </cfRule>
    <cfRule type="cellIs" dxfId="217" priority="746" operator="between">
      <formula>0.8</formula>
      <formula>0.91</formula>
    </cfRule>
    <cfRule type="cellIs" dxfId="216" priority="747" operator="between">
      <formula>0.01</formula>
      <formula>0.8</formula>
    </cfRule>
  </conditionalFormatting>
  <conditionalFormatting sqref="R73">
    <cfRule type="cellIs" dxfId="215" priority="742" operator="between">
      <formula>0.91</formula>
      <formula>5</formula>
    </cfRule>
    <cfRule type="cellIs" dxfId="214" priority="743" operator="between">
      <formula>0.8</formula>
      <formula>0.91</formula>
    </cfRule>
    <cfRule type="cellIs" dxfId="213" priority="744" operator="between">
      <formula>0.01</formula>
      <formula>0.8</formula>
    </cfRule>
  </conditionalFormatting>
  <conditionalFormatting sqref="R72">
    <cfRule type="cellIs" dxfId="212" priority="739" operator="between">
      <formula>0.91</formula>
      <formula>5</formula>
    </cfRule>
    <cfRule type="cellIs" dxfId="211" priority="740" operator="between">
      <formula>0.8</formula>
      <formula>0.91</formula>
    </cfRule>
    <cfRule type="cellIs" dxfId="210" priority="741" operator="between">
      <formula>0.01</formula>
      <formula>0.8</formula>
    </cfRule>
  </conditionalFormatting>
  <conditionalFormatting sqref="R71">
    <cfRule type="cellIs" dxfId="209" priority="682" operator="between">
      <formula>0.91</formula>
      <formula>5</formula>
    </cfRule>
    <cfRule type="cellIs" dxfId="208" priority="683" operator="between">
      <formula>0.8</formula>
      <formula>0.91</formula>
    </cfRule>
    <cfRule type="cellIs" dxfId="207" priority="684" operator="between">
      <formula>0.01</formula>
      <formula>0.8</formula>
    </cfRule>
  </conditionalFormatting>
  <conditionalFormatting sqref="R70">
    <cfRule type="cellIs" dxfId="206" priority="679" operator="between">
      <formula>0.91</formula>
      <formula>5</formula>
    </cfRule>
    <cfRule type="cellIs" dxfId="205" priority="680" operator="between">
      <formula>0.8</formula>
      <formula>0.91</formula>
    </cfRule>
    <cfRule type="cellIs" dxfId="204" priority="681" operator="between">
      <formula>0.01</formula>
      <formula>0.8</formula>
    </cfRule>
  </conditionalFormatting>
  <conditionalFormatting sqref="R69">
    <cfRule type="cellIs" dxfId="203" priority="676" operator="between">
      <formula>0.91</formula>
      <formula>5</formula>
    </cfRule>
    <cfRule type="cellIs" dxfId="202" priority="677" operator="between">
      <formula>0.8</formula>
      <formula>0.91</formula>
    </cfRule>
    <cfRule type="cellIs" dxfId="201" priority="678" operator="between">
      <formula>0.01</formula>
      <formula>0.8</formula>
    </cfRule>
  </conditionalFormatting>
  <conditionalFormatting sqref="R68">
    <cfRule type="cellIs" dxfId="200" priority="673" operator="between">
      <formula>0.91</formula>
      <formula>5</formula>
    </cfRule>
    <cfRule type="cellIs" dxfId="199" priority="674" operator="between">
      <formula>0.8</formula>
      <formula>0.91</formula>
    </cfRule>
    <cfRule type="cellIs" dxfId="198" priority="675" operator="between">
      <formula>0.01</formula>
      <formula>0.8</formula>
    </cfRule>
  </conditionalFormatting>
  <conditionalFormatting sqref="R67">
    <cfRule type="cellIs" dxfId="197" priority="670" operator="between">
      <formula>0.91</formula>
      <formula>5</formula>
    </cfRule>
    <cfRule type="cellIs" dxfId="196" priority="671" operator="between">
      <formula>0.8</formula>
      <formula>0.91</formula>
    </cfRule>
    <cfRule type="cellIs" dxfId="195" priority="672" operator="between">
      <formula>0.01</formula>
      <formula>0.8</formula>
    </cfRule>
  </conditionalFormatting>
  <conditionalFormatting sqref="R66">
    <cfRule type="cellIs" dxfId="194" priority="667" operator="between">
      <formula>0.91</formula>
      <formula>5</formula>
    </cfRule>
    <cfRule type="cellIs" dxfId="193" priority="668" operator="between">
      <formula>0.8</formula>
      <formula>0.91</formula>
    </cfRule>
    <cfRule type="cellIs" dxfId="192" priority="669" operator="between">
      <formula>0.01</formula>
      <formula>0.8</formula>
    </cfRule>
  </conditionalFormatting>
  <conditionalFormatting sqref="R65">
    <cfRule type="cellIs" dxfId="191" priority="664" operator="between">
      <formula>0.91</formula>
      <formula>5</formula>
    </cfRule>
    <cfRule type="cellIs" dxfId="190" priority="665" operator="between">
      <formula>0.8</formula>
      <formula>0.91</formula>
    </cfRule>
    <cfRule type="cellIs" dxfId="189" priority="666" operator="between">
      <formula>0.01</formula>
      <formula>0.8</formula>
    </cfRule>
  </conditionalFormatting>
  <conditionalFormatting sqref="R64">
    <cfRule type="cellIs" dxfId="188" priority="661" operator="between">
      <formula>0.91</formula>
      <formula>5</formula>
    </cfRule>
    <cfRule type="cellIs" dxfId="187" priority="662" operator="between">
      <formula>0.8</formula>
      <formula>0.91</formula>
    </cfRule>
    <cfRule type="cellIs" dxfId="186" priority="663" operator="between">
      <formula>0.01</formula>
      <formula>0.8</formula>
    </cfRule>
  </conditionalFormatting>
  <conditionalFormatting sqref="R63">
    <cfRule type="cellIs" dxfId="185" priority="658" operator="between">
      <formula>0.91</formula>
      <formula>5</formula>
    </cfRule>
    <cfRule type="cellIs" dxfId="184" priority="659" operator="between">
      <formula>0.8</formula>
      <formula>0.91</formula>
    </cfRule>
    <cfRule type="cellIs" dxfId="183" priority="660" operator="between">
      <formula>0.01</formula>
      <formula>0.8</formula>
    </cfRule>
  </conditionalFormatting>
  <conditionalFormatting sqref="R62">
    <cfRule type="cellIs" dxfId="182" priority="655" operator="between">
      <formula>0.91</formula>
      <formula>5</formula>
    </cfRule>
    <cfRule type="cellIs" dxfId="181" priority="656" operator="between">
      <formula>0.8</formula>
      <formula>0.91</formula>
    </cfRule>
    <cfRule type="cellIs" dxfId="180" priority="657" operator="between">
      <formula>0.01</formula>
      <formula>0.8</formula>
    </cfRule>
  </conditionalFormatting>
  <conditionalFormatting sqref="R61">
    <cfRule type="cellIs" dxfId="179" priority="652" operator="between">
      <formula>0.91</formula>
      <formula>5</formula>
    </cfRule>
    <cfRule type="cellIs" dxfId="178" priority="653" operator="between">
      <formula>0.8</formula>
      <formula>0.91</formula>
    </cfRule>
    <cfRule type="cellIs" dxfId="177" priority="654" operator="between">
      <formula>0.01</formula>
      <formula>0.8</formula>
    </cfRule>
  </conditionalFormatting>
  <conditionalFormatting sqref="R60">
    <cfRule type="cellIs" dxfId="176" priority="649" operator="between">
      <formula>0.91</formula>
      <formula>5</formula>
    </cfRule>
    <cfRule type="cellIs" dxfId="175" priority="650" operator="between">
      <formula>0.8</formula>
      <formula>0.91</formula>
    </cfRule>
    <cfRule type="cellIs" dxfId="174" priority="651" operator="between">
      <formula>0.01</formula>
      <formula>0.8</formula>
    </cfRule>
  </conditionalFormatting>
  <conditionalFormatting sqref="R59">
    <cfRule type="cellIs" dxfId="173" priority="631" operator="between">
      <formula>0.91</formula>
      <formula>5</formula>
    </cfRule>
    <cfRule type="cellIs" dxfId="172" priority="632" operator="between">
      <formula>0.8</formula>
      <formula>0.91</formula>
    </cfRule>
    <cfRule type="cellIs" dxfId="171" priority="633" operator="between">
      <formula>0.01</formula>
      <formula>0.8</formula>
    </cfRule>
  </conditionalFormatting>
  <conditionalFormatting sqref="R58">
    <cfRule type="cellIs" dxfId="170" priority="628" operator="between">
      <formula>0.91</formula>
      <formula>5</formula>
    </cfRule>
    <cfRule type="cellIs" dxfId="169" priority="629" operator="between">
      <formula>0.8</formula>
      <formula>0.91</formula>
    </cfRule>
    <cfRule type="cellIs" dxfId="168" priority="630" operator="between">
      <formula>0.01</formula>
      <formula>0.8</formula>
    </cfRule>
  </conditionalFormatting>
  <conditionalFormatting sqref="R57">
    <cfRule type="cellIs" dxfId="167" priority="625" operator="between">
      <formula>0.91</formula>
      <formula>5</formula>
    </cfRule>
    <cfRule type="cellIs" dxfId="166" priority="626" operator="between">
      <formula>0.8</formula>
      <formula>0.91</formula>
    </cfRule>
    <cfRule type="cellIs" dxfId="165" priority="627" operator="between">
      <formula>0.01</formula>
      <formula>0.8</formula>
    </cfRule>
  </conditionalFormatting>
  <conditionalFormatting sqref="R56">
    <cfRule type="cellIs" dxfId="164" priority="622" operator="between">
      <formula>0.91</formula>
      <formula>5</formula>
    </cfRule>
    <cfRule type="cellIs" dxfId="163" priority="623" operator="between">
      <formula>0.8</formula>
      <formula>0.91</formula>
    </cfRule>
    <cfRule type="cellIs" dxfId="162" priority="624" operator="between">
      <formula>0.01</formula>
      <formula>0.8</formula>
    </cfRule>
  </conditionalFormatting>
  <conditionalFormatting sqref="R55">
    <cfRule type="cellIs" dxfId="161" priority="619" operator="between">
      <formula>0.91</formula>
      <formula>5</formula>
    </cfRule>
    <cfRule type="cellIs" dxfId="160" priority="620" operator="between">
      <formula>0.8</formula>
      <formula>0.91</formula>
    </cfRule>
    <cfRule type="cellIs" dxfId="159" priority="621" operator="between">
      <formula>0.01</formula>
      <formula>0.8</formula>
    </cfRule>
  </conditionalFormatting>
  <conditionalFormatting sqref="R54">
    <cfRule type="cellIs" dxfId="158" priority="616" operator="between">
      <formula>0.91</formula>
      <formula>5</formula>
    </cfRule>
    <cfRule type="cellIs" dxfId="157" priority="617" operator="between">
      <formula>0.8</formula>
      <formula>0.91</formula>
    </cfRule>
    <cfRule type="cellIs" dxfId="156" priority="618" operator="between">
      <formula>0.01</formula>
      <formula>0.8</formula>
    </cfRule>
  </conditionalFormatting>
  <conditionalFormatting sqref="R53">
    <cfRule type="cellIs" dxfId="155" priority="613" operator="between">
      <formula>0.91</formula>
      <formula>5</formula>
    </cfRule>
    <cfRule type="cellIs" dxfId="154" priority="614" operator="between">
      <formula>0.8</formula>
      <formula>0.91</formula>
    </cfRule>
    <cfRule type="cellIs" dxfId="153" priority="615" operator="between">
      <formula>0.01</formula>
      <formula>0.8</formula>
    </cfRule>
  </conditionalFormatting>
  <conditionalFormatting sqref="R52">
    <cfRule type="cellIs" dxfId="152" priority="610" operator="between">
      <formula>0.91</formula>
      <formula>5</formula>
    </cfRule>
    <cfRule type="cellIs" dxfId="151" priority="611" operator="between">
      <formula>0.8</formula>
      <formula>0.91</formula>
    </cfRule>
    <cfRule type="cellIs" dxfId="150" priority="612" operator="between">
      <formula>0.01</formula>
      <formula>0.8</formula>
    </cfRule>
  </conditionalFormatting>
  <conditionalFormatting sqref="R51">
    <cfRule type="cellIs" dxfId="149" priority="607" operator="between">
      <formula>0.91</formula>
      <formula>5</formula>
    </cfRule>
    <cfRule type="cellIs" dxfId="148" priority="608" operator="between">
      <formula>0.8</formula>
      <formula>0.91</formula>
    </cfRule>
    <cfRule type="cellIs" dxfId="147" priority="609" operator="between">
      <formula>0.01</formula>
      <formula>0.8</formula>
    </cfRule>
  </conditionalFormatting>
  <conditionalFormatting sqref="R50">
    <cfRule type="cellIs" dxfId="146" priority="604" operator="between">
      <formula>0.91</formula>
      <formula>5</formula>
    </cfRule>
    <cfRule type="cellIs" dxfId="145" priority="605" operator="between">
      <formula>0.8</formula>
      <formula>0.91</formula>
    </cfRule>
    <cfRule type="cellIs" dxfId="144" priority="606" operator="between">
      <formula>0.01</formula>
      <formula>0.8</formula>
    </cfRule>
  </conditionalFormatting>
  <conditionalFormatting sqref="R49">
    <cfRule type="cellIs" dxfId="143" priority="601" operator="between">
      <formula>0.91</formula>
      <formula>5</formula>
    </cfRule>
    <cfRule type="cellIs" dxfId="142" priority="602" operator="between">
      <formula>0.8</formula>
      <formula>0.91</formula>
    </cfRule>
    <cfRule type="cellIs" dxfId="141" priority="603" operator="between">
      <formula>0.01</formula>
      <formula>0.8</formula>
    </cfRule>
  </conditionalFormatting>
  <conditionalFormatting sqref="R48">
    <cfRule type="cellIs" dxfId="140" priority="598" operator="between">
      <formula>0.91</formula>
      <formula>5</formula>
    </cfRule>
    <cfRule type="cellIs" dxfId="139" priority="599" operator="between">
      <formula>0.8</formula>
      <formula>0.91</formula>
    </cfRule>
    <cfRule type="cellIs" dxfId="138" priority="600" operator="between">
      <formula>0.01</formula>
      <formula>0.8</formula>
    </cfRule>
  </conditionalFormatting>
  <conditionalFormatting sqref="R47">
    <cfRule type="cellIs" dxfId="137" priority="592" operator="between">
      <formula>0.91</formula>
      <formula>5</formula>
    </cfRule>
    <cfRule type="cellIs" dxfId="136" priority="593" operator="between">
      <formula>0.8</formula>
      <formula>0.91</formula>
    </cfRule>
    <cfRule type="cellIs" dxfId="135" priority="594" operator="between">
      <formula>0.01</formula>
      <formula>0.8</formula>
    </cfRule>
  </conditionalFormatting>
  <conditionalFormatting sqref="R46">
    <cfRule type="cellIs" dxfId="134" priority="589" operator="between">
      <formula>0.91</formula>
      <formula>5</formula>
    </cfRule>
    <cfRule type="cellIs" dxfId="133" priority="590" operator="between">
      <formula>0.8</formula>
      <formula>0.91</formula>
    </cfRule>
    <cfRule type="cellIs" dxfId="132" priority="591" operator="between">
      <formula>0.01</formula>
      <formula>0.8</formula>
    </cfRule>
  </conditionalFormatting>
  <conditionalFormatting sqref="R45">
    <cfRule type="cellIs" dxfId="131" priority="586" operator="between">
      <formula>0.91</formula>
      <formula>5</formula>
    </cfRule>
    <cfRule type="cellIs" dxfId="130" priority="587" operator="between">
      <formula>0.8</formula>
      <formula>0.91</formula>
    </cfRule>
    <cfRule type="cellIs" dxfId="129" priority="588" operator="between">
      <formula>0.01</formula>
      <formula>0.8</formula>
    </cfRule>
  </conditionalFormatting>
  <conditionalFormatting sqref="R44">
    <cfRule type="cellIs" dxfId="128" priority="583" operator="between">
      <formula>0.91</formula>
      <formula>5</formula>
    </cfRule>
    <cfRule type="cellIs" dxfId="127" priority="584" operator="between">
      <formula>0.8</formula>
      <formula>0.91</formula>
    </cfRule>
    <cfRule type="cellIs" dxfId="126" priority="585" operator="between">
      <formula>0.01</formula>
      <formula>0.8</formula>
    </cfRule>
  </conditionalFormatting>
  <conditionalFormatting sqref="R43">
    <cfRule type="cellIs" dxfId="125" priority="580" operator="between">
      <formula>0.91</formula>
      <formula>5</formula>
    </cfRule>
    <cfRule type="cellIs" dxfId="124" priority="581" operator="between">
      <formula>0.8</formula>
      <formula>0.91</formula>
    </cfRule>
    <cfRule type="cellIs" dxfId="123" priority="582" operator="between">
      <formula>0.01</formula>
      <formula>0.8</formula>
    </cfRule>
  </conditionalFormatting>
  <conditionalFormatting sqref="R42">
    <cfRule type="cellIs" dxfId="122" priority="577" operator="between">
      <formula>0.91</formula>
      <formula>5</formula>
    </cfRule>
    <cfRule type="cellIs" dxfId="121" priority="578" operator="between">
      <formula>0.8</formula>
      <formula>0.91</formula>
    </cfRule>
    <cfRule type="cellIs" dxfId="120" priority="579" operator="between">
      <formula>0.01</formula>
      <formula>0.8</formula>
    </cfRule>
  </conditionalFormatting>
  <conditionalFormatting sqref="R41">
    <cfRule type="cellIs" dxfId="119" priority="571" operator="between">
      <formula>0.91</formula>
      <formula>5</formula>
    </cfRule>
    <cfRule type="cellIs" dxfId="118" priority="572" operator="between">
      <formula>0.8</formula>
      <formula>0.91</formula>
    </cfRule>
    <cfRule type="cellIs" dxfId="117" priority="573" operator="between">
      <formula>0.01</formula>
      <formula>0.8</formula>
    </cfRule>
  </conditionalFormatting>
  <conditionalFormatting sqref="R40">
    <cfRule type="cellIs" dxfId="116" priority="568" operator="between">
      <formula>0.91</formula>
      <formula>5</formula>
    </cfRule>
    <cfRule type="cellIs" dxfId="115" priority="569" operator="between">
      <formula>0.8</formula>
      <formula>0.91</formula>
    </cfRule>
    <cfRule type="cellIs" dxfId="114" priority="570" operator="between">
      <formula>0.01</formula>
      <formula>0.8</formula>
    </cfRule>
  </conditionalFormatting>
  <conditionalFormatting sqref="R39">
    <cfRule type="cellIs" dxfId="113" priority="565" operator="between">
      <formula>0.91</formula>
      <formula>5</formula>
    </cfRule>
    <cfRule type="cellIs" dxfId="112" priority="566" operator="between">
      <formula>0.8</formula>
      <formula>0.91</formula>
    </cfRule>
    <cfRule type="cellIs" dxfId="111" priority="567" operator="between">
      <formula>0.01</formula>
      <formula>0.8</formula>
    </cfRule>
  </conditionalFormatting>
  <conditionalFormatting sqref="R38">
    <cfRule type="cellIs" dxfId="110" priority="562" operator="between">
      <formula>0.91</formula>
      <formula>5</formula>
    </cfRule>
    <cfRule type="cellIs" dxfId="109" priority="563" operator="between">
      <formula>0.8</formula>
      <formula>0.91</formula>
    </cfRule>
    <cfRule type="cellIs" dxfId="108" priority="564" operator="between">
      <formula>0.01</formula>
      <formula>0.8</formula>
    </cfRule>
  </conditionalFormatting>
  <conditionalFormatting sqref="R37">
    <cfRule type="cellIs" dxfId="107" priority="559" operator="between">
      <formula>0.91</formula>
      <formula>5</formula>
    </cfRule>
    <cfRule type="cellIs" dxfId="106" priority="560" operator="between">
      <formula>0.8</formula>
      <formula>0.91</formula>
    </cfRule>
    <cfRule type="cellIs" dxfId="105" priority="561" operator="between">
      <formula>0.01</formula>
      <formula>0.8</formula>
    </cfRule>
  </conditionalFormatting>
  <conditionalFormatting sqref="R36">
    <cfRule type="cellIs" dxfId="104" priority="556" operator="between">
      <formula>0.91</formula>
      <formula>5</formula>
    </cfRule>
    <cfRule type="cellIs" dxfId="103" priority="557" operator="between">
      <formula>0.8</formula>
      <formula>0.91</formula>
    </cfRule>
    <cfRule type="cellIs" dxfId="102" priority="558" operator="between">
      <formula>0.01</formula>
      <formula>0.8</formula>
    </cfRule>
  </conditionalFormatting>
  <conditionalFormatting sqref="R35">
    <cfRule type="cellIs" dxfId="101" priority="553" operator="between">
      <formula>0.91</formula>
      <formula>5</formula>
    </cfRule>
    <cfRule type="cellIs" dxfId="100" priority="554" operator="between">
      <formula>0.8</formula>
      <formula>0.91</formula>
    </cfRule>
    <cfRule type="cellIs" dxfId="99" priority="555" operator="between">
      <formula>0.01</formula>
      <formula>0.8</formula>
    </cfRule>
  </conditionalFormatting>
  <conditionalFormatting sqref="R34">
    <cfRule type="cellIs" dxfId="98" priority="550" operator="between">
      <formula>0.91</formula>
      <formula>5</formula>
    </cfRule>
    <cfRule type="cellIs" dxfId="97" priority="551" operator="between">
      <formula>0.8</formula>
      <formula>0.91</formula>
    </cfRule>
    <cfRule type="cellIs" dxfId="96" priority="552" operator="between">
      <formula>0.01</formula>
      <formula>0.8</formula>
    </cfRule>
  </conditionalFormatting>
  <conditionalFormatting sqref="R33">
    <cfRule type="cellIs" dxfId="95" priority="547" operator="between">
      <formula>0.91</formula>
      <formula>5</formula>
    </cfRule>
    <cfRule type="cellIs" dxfId="94" priority="548" operator="between">
      <formula>0.8</formula>
      <formula>0.91</formula>
    </cfRule>
    <cfRule type="cellIs" dxfId="93" priority="549" operator="between">
      <formula>0.01</formula>
      <formula>0.8</formula>
    </cfRule>
  </conditionalFormatting>
  <conditionalFormatting sqref="R32">
    <cfRule type="cellIs" dxfId="92" priority="544" operator="between">
      <formula>0.91</formula>
      <formula>5</formula>
    </cfRule>
    <cfRule type="cellIs" dxfId="91" priority="545" operator="between">
      <formula>0.8</formula>
      <formula>0.91</formula>
    </cfRule>
    <cfRule type="cellIs" dxfId="90" priority="546" operator="between">
      <formula>0.01</formula>
      <formula>0.8</formula>
    </cfRule>
  </conditionalFormatting>
  <conditionalFormatting sqref="R31">
    <cfRule type="cellIs" dxfId="89" priority="541" operator="between">
      <formula>0.91</formula>
      <formula>5</formula>
    </cfRule>
    <cfRule type="cellIs" dxfId="88" priority="542" operator="between">
      <formula>0.8</formula>
      <formula>0.91</formula>
    </cfRule>
    <cfRule type="cellIs" dxfId="87" priority="543" operator="between">
      <formula>0.01</formula>
      <formula>0.8</formula>
    </cfRule>
  </conditionalFormatting>
  <conditionalFormatting sqref="R30">
    <cfRule type="cellIs" dxfId="86" priority="538" operator="between">
      <formula>0.91</formula>
      <formula>5</formula>
    </cfRule>
    <cfRule type="cellIs" dxfId="85" priority="539" operator="between">
      <formula>0.8</formula>
      <formula>0.91</formula>
    </cfRule>
    <cfRule type="cellIs" dxfId="84" priority="540" operator="between">
      <formula>0.01</formula>
      <formula>0.8</formula>
    </cfRule>
  </conditionalFormatting>
  <conditionalFormatting sqref="R29">
    <cfRule type="cellIs" dxfId="83" priority="535" operator="between">
      <formula>0.91</formula>
      <formula>5</formula>
    </cfRule>
    <cfRule type="cellIs" dxfId="82" priority="536" operator="between">
      <formula>0.8</formula>
      <formula>0.91</formula>
    </cfRule>
    <cfRule type="cellIs" dxfId="81" priority="537" operator="between">
      <formula>0.01</formula>
      <formula>0.8</formula>
    </cfRule>
  </conditionalFormatting>
  <conditionalFormatting sqref="R28">
    <cfRule type="cellIs" dxfId="80" priority="532" operator="between">
      <formula>0.91</formula>
      <formula>5</formula>
    </cfRule>
    <cfRule type="cellIs" dxfId="79" priority="533" operator="between">
      <formula>0.8</formula>
      <formula>0.91</formula>
    </cfRule>
    <cfRule type="cellIs" dxfId="78" priority="534" operator="between">
      <formula>0.01</formula>
      <formula>0.8</formula>
    </cfRule>
  </conditionalFormatting>
  <conditionalFormatting sqref="R27">
    <cfRule type="cellIs" dxfId="77" priority="529" operator="between">
      <formula>0.91</formula>
      <formula>5</formula>
    </cfRule>
    <cfRule type="cellIs" dxfId="76" priority="530" operator="between">
      <formula>0.8</formula>
      <formula>0.91</formula>
    </cfRule>
    <cfRule type="cellIs" dxfId="75" priority="531" operator="between">
      <formula>0.01</formula>
      <formula>0.8</formula>
    </cfRule>
  </conditionalFormatting>
  <conditionalFormatting sqref="R26">
    <cfRule type="cellIs" dxfId="74" priority="526" operator="between">
      <formula>0.91</formula>
      <formula>5</formula>
    </cfRule>
    <cfRule type="cellIs" dxfId="73" priority="527" operator="between">
      <formula>0.8</formula>
      <formula>0.91</formula>
    </cfRule>
    <cfRule type="cellIs" dxfId="72" priority="528" operator="between">
      <formula>0.01</formula>
      <formula>0.8</formula>
    </cfRule>
  </conditionalFormatting>
  <conditionalFormatting sqref="R25">
    <cfRule type="cellIs" dxfId="71" priority="520" operator="between">
      <formula>0.91</formula>
      <formula>5</formula>
    </cfRule>
    <cfRule type="cellIs" dxfId="70" priority="521" operator="between">
      <formula>0.8</formula>
      <formula>0.91</formula>
    </cfRule>
    <cfRule type="cellIs" dxfId="69" priority="522" operator="between">
      <formula>0.01</formula>
      <formula>0.8</formula>
    </cfRule>
  </conditionalFormatting>
  <conditionalFormatting sqref="R24">
    <cfRule type="cellIs" dxfId="68" priority="517" operator="between">
      <formula>0.91</formula>
      <formula>5</formula>
    </cfRule>
    <cfRule type="cellIs" dxfId="67" priority="518" operator="between">
      <formula>0.8</formula>
      <formula>0.91</formula>
    </cfRule>
    <cfRule type="cellIs" dxfId="66" priority="519" operator="between">
      <formula>0.01</formula>
      <formula>0.8</formula>
    </cfRule>
  </conditionalFormatting>
  <conditionalFormatting sqref="R23">
    <cfRule type="cellIs" dxfId="65" priority="514" operator="between">
      <formula>0.91</formula>
      <formula>5</formula>
    </cfRule>
    <cfRule type="cellIs" dxfId="64" priority="515" operator="between">
      <formula>0.8</formula>
      <formula>0.91</formula>
    </cfRule>
    <cfRule type="cellIs" dxfId="63" priority="516" operator="between">
      <formula>0.01</formula>
      <formula>0.8</formula>
    </cfRule>
  </conditionalFormatting>
  <conditionalFormatting sqref="R22">
    <cfRule type="cellIs" dxfId="62" priority="511" operator="between">
      <formula>0.91</formula>
      <formula>5</formula>
    </cfRule>
    <cfRule type="cellIs" dxfId="61" priority="512" operator="between">
      <formula>0.8</formula>
      <formula>0.91</formula>
    </cfRule>
    <cfRule type="cellIs" dxfId="60" priority="513" operator="between">
      <formula>0.01</formula>
      <formula>0.8</formula>
    </cfRule>
  </conditionalFormatting>
  <conditionalFormatting sqref="R21">
    <cfRule type="cellIs" dxfId="59" priority="508" operator="between">
      <formula>0.91</formula>
      <formula>5</formula>
    </cfRule>
    <cfRule type="cellIs" dxfId="58" priority="509" operator="between">
      <formula>0.8</formula>
      <formula>0.91</formula>
    </cfRule>
    <cfRule type="cellIs" dxfId="57" priority="510" operator="between">
      <formula>0.01</formula>
      <formula>0.8</formula>
    </cfRule>
  </conditionalFormatting>
  <conditionalFormatting sqref="R20">
    <cfRule type="cellIs" dxfId="56" priority="505" operator="between">
      <formula>0.91</formula>
      <formula>5</formula>
    </cfRule>
    <cfRule type="cellIs" dxfId="55" priority="506" operator="between">
      <formula>0.8</formula>
      <formula>0.91</formula>
    </cfRule>
    <cfRule type="cellIs" dxfId="54" priority="507" operator="between">
      <formula>0.01</formula>
      <formula>0.8</formula>
    </cfRule>
  </conditionalFormatting>
  <conditionalFormatting sqref="R19">
    <cfRule type="cellIs" dxfId="53" priority="502" operator="between">
      <formula>0.91</formula>
      <formula>5</formula>
    </cfRule>
    <cfRule type="cellIs" dxfId="52" priority="503" operator="between">
      <formula>0.8</formula>
      <formula>0.91</formula>
    </cfRule>
    <cfRule type="cellIs" dxfId="51" priority="504" operator="between">
      <formula>0.01</formula>
      <formula>0.8</formula>
    </cfRule>
  </conditionalFormatting>
  <conditionalFormatting sqref="R18">
    <cfRule type="cellIs" dxfId="50" priority="499" operator="between">
      <formula>0.91</formula>
      <formula>5</formula>
    </cfRule>
    <cfRule type="cellIs" dxfId="49" priority="500" operator="between">
      <formula>0.8</formula>
      <formula>0.91</formula>
    </cfRule>
    <cfRule type="cellIs" dxfId="48" priority="501" operator="between">
      <formula>0.01</formula>
      <formula>0.8</formula>
    </cfRule>
  </conditionalFormatting>
  <conditionalFormatting sqref="R17">
    <cfRule type="cellIs" dxfId="47" priority="496" operator="between">
      <formula>0.91</formula>
      <formula>5</formula>
    </cfRule>
    <cfRule type="cellIs" dxfId="46" priority="497" operator="between">
      <formula>0.8</formula>
      <formula>0.91</formula>
    </cfRule>
    <cfRule type="cellIs" dxfId="45" priority="498" operator="between">
      <formula>0.01</formula>
      <formula>0.8</formula>
    </cfRule>
  </conditionalFormatting>
  <conditionalFormatting sqref="R16">
    <cfRule type="cellIs" dxfId="44" priority="493" operator="between">
      <formula>0.91</formula>
      <formula>5</formula>
    </cfRule>
    <cfRule type="cellIs" dxfId="43" priority="494" operator="between">
      <formula>0.8</formula>
      <formula>0.91</formula>
    </cfRule>
    <cfRule type="cellIs" dxfId="42" priority="495" operator="between">
      <formula>0.01</formula>
      <formula>0.8</formula>
    </cfRule>
  </conditionalFormatting>
  <conditionalFormatting sqref="R15">
    <cfRule type="cellIs" dxfId="41" priority="490" operator="between">
      <formula>0.91</formula>
      <formula>5</formula>
    </cfRule>
    <cfRule type="cellIs" dxfId="40" priority="491" operator="between">
      <formula>0.8</formula>
      <formula>0.91</formula>
    </cfRule>
    <cfRule type="cellIs" dxfId="39" priority="492" operator="between">
      <formula>0.01</formula>
      <formula>0.8</formula>
    </cfRule>
  </conditionalFormatting>
  <conditionalFormatting sqref="R14">
    <cfRule type="cellIs" dxfId="38" priority="487" operator="between">
      <formula>0.91</formula>
      <formula>5</formula>
    </cfRule>
    <cfRule type="cellIs" dxfId="37" priority="488" operator="between">
      <formula>0.8</formula>
      <formula>0.91</formula>
    </cfRule>
    <cfRule type="cellIs" dxfId="36" priority="489" operator="between">
      <formula>0.01</formula>
      <formula>0.8</formula>
    </cfRule>
  </conditionalFormatting>
  <conditionalFormatting sqref="R13">
    <cfRule type="cellIs" dxfId="35" priority="484" operator="between">
      <formula>0.91</formula>
      <formula>5</formula>
    </cfRule>
    <cfRule type="cellIs" dxfId="34" priority="485" operator="between">
      <formula>0.8</formula>
      <formula>0.91</formula>
    </cfRule>
    <cfRule type="cellIs" dxfId="33" priority="486" operator="between">
      <formula>0.01</formula>
      <formula>0.8</formula>
    </cfRule>
  </conditionalFormatting>
  <conditionalFormatting sqref="R12">
    <cfRule type="cellIs" dxfId="32" priority="478" operator="between">
      <formula>0.91</formula>
      <formula>5</formula>
    </cfRule>
    <cfRule type="cellIs" dxfId="31" priority="479" operator="between">
      <formula>0.8</formula>
      <formula>0.91</formula>
    </cfRule>
    <cfRule type="cellIs" dxfId="30" priority="480" operator="between">
      <formula>0.01</formula>
      <formula>0.8</formula>
    </cfRule>
  </conditionalFormatting>
  <conditionalFormatting sqref="R11">
    <cfRule type="cellIs" dxfId="29" priority="475" operator="between">
      <formula>0.91</formula>
      <formula>5</formula>
    </cfRule>
    <cfRule type="cellIs" dxfId="28" priority="476" operator="between">
      <formula>0.8</formula>
      <formula>0.91</formula>
    </cfRule>
    <cfRule type="cellIs" dxfId="27" priority="477" operator="between">
      <formula>0.01</formula>
      <formula>0.8</formula>
    </cfRule>
  </conditionalFormatting>
  <conditionalFormatting sqref="R10">
    <cfRule type="cellIs" dxfId="26" priority="472" operator="between">
      <formula>0.91</formula>
      <formula>5</formula>
    </cfRule>
    <cfRule type="cellIs" dxfId="25" priority="473" operator="between">
      <formula>0.8</formula>
      <formula>0.91</formula>
    </cfRule>
    <cfRule type="cellIs" dxfId="24" priority="474" operator="between">
      <formula>0.01</formula>
      <formula>0.8</formula>
    </cfRule>
  </conditionalFormatting>
  <conditionalFormatting sqref="R9">
    <cfRule type="cellIs" dxfId="23" priority="466" operator="between">
      <formula>0.91</formula>
      <formula>5</formula>
    </cfRule>
    <cfRule type="cellIs" dxfId="22" priority="467" operator="between">
      <formula>0.8</formula>
      <formula>0.91</formula>
    </cfRule>
    <cfRule type="cellIs" dxfId="21" priority="468" operator="between">
      <formula>0.01</formula>
      <formula>0.8</formula>
    </cfRule>
  </conditionalFormatting>
  <conditionalFormatting sqref="R8">
    <cfRule type="cellIs" dxfId="20" priority="463" operator="between">
      <formula>0.91</formula>
      <formula>5</formula>
    </cfRule>
    <cfRule type="cellIs" dxfId="19" priority="464" operator="between">
      <formula>0.8</formula>
      <formula>0.91</formula>
    </cfRule>
    <cfRule type="cellIs" dxfId="18" priority="465" operator="between">
      <formula>0.01</formula>
      <formula>0.8</formula>
    </cfRule>
  </conditionalFormatting>
  <conditionalFormatting sqref="R7">
    <cfRule type="cellIs" dxfId="17" priority="460" operator="between">
      <formula>0.91</formula>
      <formula>5</formula>
    </cfRule>
    <cfRule type="cellIs" dxfId="16" priority="461" operator="between">
      <formula>0.8</formula>
      <formula>0.91</formula>
    </cfRule>
    <cfRule type="cellIs" dxfId="15" priority="462" operator="between">
      <formula>0.01</formula>
      <formula>0.8</formula>
    </cfRule>
  </conditionalFormatting>
  <conditionalFormatting sqref="R6">
    <cfRule type="cellIs" dxfId="2" priority="1" operator="between">
      <formula>0.91</formula>
      <formula>5</formula>
    </cfRule>
    <cfRule type="cellIs" dxfId="1" priority="2" operator="between">
      <formula>0.8</formula>
      <formula>0.91</formula>
    </cfRule>
    <cfRule type="cellIs" dxfId="0" priority="3" operator="between">
      <formula>0.01</formula>
      <formula>0.8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G31"/>
  <sheetViews>
    <sheetView showGridLines="0" workbookViewId="0"/>
  </sheetViews>
  <sheetFormatPr baseColWidth="10" defaultRowHeight="15"/>
  <cols>
    <col min="1" max="1" width="4.42578125" customWidth="1"/>
    <col min="2" max="2" width="25.28515625" customWidth="1"/>
    <col min="3" max="3" width="24.140625" customWidth="1"/>
    <col min="4" max="4" width="21.42578125" customWidth="1"/>
    <col min="5" max="5" width="20.7109375" customWidth="1"/>
    <col min="6" max="7" width="21.7109375" customWidth="1"/>
  </cols>
  <sheetData>
    <row r="2" spans="2:7" ht="15" customHeight="1">
      <c r="B2" s="92" t="s">
        <v>116</v>
      </c>
      <c r="C2" s="93"/>
      <c r="D2" s="94"/>
      <c r="E2" s="92" t="s">
        <v>157</v>
      </c>
      <c r="F2" s="93"/>
      <c r="G2" s="94"/>
    </row>
    <row r="3" spans="2:7" ht="25.5">
      <c r="B3" s="92" t="s">
        <v>0</v>
      </c>
      <c r="C3" s="94"/>
      <c r="D3" s="25" t="s">
        <v>59</v>
      </c>
      <c r="E3" s="25" t="s">
        <v>5</v>
      </c>
      <c r="F3" s="28" t="s">
        <v>4</v>
      </c>
      <c r="G3" s="26" t="s">
        <v>60</v>
      </c>
    </row>
    <row r="4" spans="2:7">
      <c r="B4" s="90"/>
      <c r="C4" s="91"/>
      <c r="D4" s="24">
        <f ca="1">SUMIF('Oper.Nombre '!C:F,Resumen!B4,'Oper.Nombre '!L:L)</f>
        <v>0</v>
      </c>
      <c r="E4" s="24">
        <f ca="1">SUMIF('Oper.Nombre '!C:F,Resumen!B4,'Oper.Nombre '!Q:Q)</f>
        <v>0</v>
      </c>
      <c r="F4" s="27" t="e">
        <f ca="1">D4/E4</f>
        <v>#DIV/0!</v>
      </c>
      <c r="G4" s="27" t="e">
        <f ca="1">1-F4</f>
        <v>#DIV/0!</v>
      </c>
    </row>
    <row r="5" spans="2:7">
      <c r="B5" s="90"/>
      <c r="C5" s="91"/>
      <c r="D5" s="24">
        <f ca="1">SUMIF('Oper.Nombre '!C:F,Resumen!B5,'Oper.Nombre '!L:L)</f>
        <v>0</v>
      </c>
      <c r="E5" s="24">
        <f ca="1">SUMIF('Oper.Nombre '!C:F,Resumen!B5,'Oper.Nombre '!Q:Q)</f>
        <v>0</v>
      </c>
      <c r="F5" s="27" t="e">
        <f t="shared" ref="F5:F10" ca="1" si="0">D5/E5</f>
        <v>#DIV/0!</v>
      </c>
      <c r="G5" s="27" t="e">
        <f t="shared" ref="G5:G10" ca="1" si="1">1-F5</f>
        <v>#DIV/0!</v>
      </c>
    </row>
    <row r="6" spans="2:7">
      <c r="B6" s="90"/>
      <c r="C6" s="91"/>
      <c r="D6" s="24">
        <f ca="1">SUMIF('Oper.Nombre '!C:F,Resumen!B6,'Oper.Nombre '!L:L)</f>
        <v>0</v>
      </c>
      <c r="E6" s="24">
        <f ca="1">SUMIF('Oper.Nombre '!C:F,Resumen!B6,'Oper.Nombre '!Q:Q)</f>
        <v>0</v>
      </c>
      <c r="F6" s="27" t="e">
        <f t="shared" ca="1" si="0"/>
        <v>#DIV/0!</v>
      </c>
      <c r="G6" s="27" t="e">
        <f t="shared" ca="1" si="1"/>
        <v>#DIV/0!</v>
      </c>
    </row>
    <row r="7" spans="2:7">
      <c r="B7" s="90"/>
      <c r="C7" s="91"/>
      <c r="D7" s="24">
        <f ca="1">SUMIF('Oper.Nombre '!C:F,Resumen!B7,'Oper.Nombre '!L:L)</f>
        <v>0</v>
      </c>
      <c r="E7" s="24">
        <f ca="1">SUMIF('Oper.Nombre '!C:F,Resumen!B7,'Oper.Nombre '!Q:Q)</f>
        <v>0</v>
      </c>
      <c r="F7" s="27" t="e">
        <f t="shared" ca="1" si="0"/>
        <v>#DIV/0!</v>
      </c>
      <c r="G7" s="27" t="e">
        <f t="shared" ca="1" si="1"/>
        <v>#DIV/0!</v>
      </c>
    </row>
    <row r="8" spans="2:7">
      <c r="B8" s="90"/>
      <c r="C8" s="91"/>
      <c r="D8" s="24">
        <f ca="1">SUMIF('Oper.Nombre '!C:F,Resumen!B8,'Oper.Nombre '!L:L)</f>
        <v>0</v>
      </c>
      <c r="E8" s="24">
        <f ca="1">SUMIF('Oper.Nombre '!C:F,Resumen!B8,'Oper.Nombre '!Q:Q)</f>
        <v>0</v>
      </c>
      <c r="F8" s="27" t="e">
        <f t="shared" ca="1" si="0"/>
        <v>#DIV/0!</v>
      </c>
      <c r="G8" s="27" t="e">
        <f t="shared" ca="1" si="1"/>
        <v>#DIV/0!</v>
      </c>
    </row>
    <row r="9" spans="2:7">
      <c r="B9" s="90"/>
      <c r="C9" s="91"/>
      <c r="D9" s="24">
        <f ca="1">SUMIF('Oper.Nombre '!C:F,Resumen!B9,'Oper.Nombre '!L:L)</f>
        <v>0</v>
      </c>
      <c r="E9" s="24">
        <f ca="1">SUMIF('Oper.Nombre '!C:F,Resumen!B9,'Oper.Nombre '!Q:Q)</f>
        <v>0</v>
      </c>
      <c r="F9" s="27" t="e">
        <f t="shared" ca="1" si="0"/>
        <v>#DIV/0!</v>
      </c>
      <c r="G9" s="27" t="e">
        <f t="shared" ca="1" si="1"/>
        <v>#DIV/0!</v>
      </c>
    </row>
    <row r="10" spans="2:7">
      <c r="B10" s="90"/>
      <c r="C10" s="91"/>
      <c r="D10" s="24">
        <f ca="1">SUMIF('Oper.Nombre '!C:F,Resumen!B10,'Oper.Nombre '!L:L)</f>
        <v>0</v>
      </c>
      <c r="E10" s="24">
        <f ca="1">SUMIF('Oper.Nombre '!C:F,Resumen!B10,'Oper.Nombre '!Q:Q)</f>
        <v>0</v>
      </c>
      <c r="F10" s="27" t="e">
        <f t="shared" ca="1" si="0"/>
        <v>#DIV/0!</v>
      </c>
      <c r="G10" s="27" t="e">
        <f t="shared" ca="1" si="1"/>
        <v>#DIV/0!</v>
      </c>
    </row>
    <row r="11" spans="2:7">
      <c r="B11" s="90"/>
      <c r="C11" s="91"/>
      <c r="D11" s="24">
        <f ca="1">SUMIF('Oper.Nombre '!C:F,Resumen!B11,'Oper.Nombre '!L:L)</f>
        <v>0</v>
      </c>
      <c r="E11" s="24">
        <f ca="1">SUMIF('Oper.Nombre '!C:F,Resumen!B11,'Oper.Nombre '!Q:Q)</f>
        <v>0</v>
      </c>
      <c r="F11" s="27" t="e">
        <f t="shared" ref="F11:F22" ca="1" si="2">D11/E11</f>
        <v>#DIV/0!</v>
      </c>
      <c r="G11" s="27" t="e">
        <f t="shared" ref="G11:G22" ca="1" si="3">1-F11</f>
        <v>#DIV/0!</v>
      </c>
    </row>
    <row r="12" spans="2:7">
      <c r="B12" s="90"/>
      <c r="C12" s="91"/>
      <c r="D12" s="24">
        <f ca="1">SUMIF('Oper.Nombre '!C:F,Resumen!B12,'Oper.Nombre '!L:L)</f>
        <v>0</v>
      </c>
      <c r="E12" s="24">
        <f ca="1">SUMIF('Oper.Nombre '!C:F,Resumen!B12,'Oper.Nombre '!Q:Q)</f>
        <v>0</v>
      </c>
      <c r="F12" s="27" t="e">
        <f t="shared" ca="1" si="2"/>
        <v>#DIV/0!</v>
      </c>
      <c r="G12" s="27" t="e">
        <f t="shared" ca="1" si="3"/>
        <v>#DIV/0!</v>
      </c>
    </row>
    <row r="13" spans="2:7">
      <c r="B13" s="90"/>
      <c r="C13" s="91"/>
      <c r="D13" s="24">
        <f ca="1">SUMIF('Oper.Nombre '!C:F,Resumen!B13,'Oper.Nombre '!L:L)</f>
        <v>0</v>
      </c>
      <c r="E13" s="24">
        <f ca="1">SUMIF('Oper.Nombre '!C:F,Resumen!B13,'Oper.Nombre '!Q:Q)</f>
        <v>0</v>
      </c>
      <c r="F13" s="27" t="e">
        <f t="shared" ca="1" si="2"/>
        <v>#DIV/0!</v>
      </c>
      <c r="G13" s="27" t="e">
        <f t="shared" ca="1" si="3"/>
        <v>#DIV/0!</v>
      </c>
    </row>
    <row r="14" spans="2:7">
      <c r="B14" s="90"/>
      <c r="C14" s="91"/>
      <c r="D14" s="24">
        <f ca="1">SUMIF('Oper.Nombre '!C:F,Resumen!B14,'Oper.Nombre '!L:L)</f>
        <v>0</v>
      </c>
      <c r="E14" s="24">
        <f ca="1">SUMIF('Oper.Nombre '!C:F,Resumen!B14,'Oper.Nombre '!Q:Q)</f>
        <v>0</v>
      </c>
      <c r="F14" s="27" t="e">
        <f t="shared" ca="1" si="2"/>
        <v>#DIV/0!</v>
      </c>
      <c r="G14" s="27" t="e">
        <f t="shared" ca="1" si="3"/>
        <v>#DIV/0!</v>
      </c>
    </row>
    <row r="15" spans="2:7">
      <c r="B15" s="90"/>
      <c r="C15" s="91"/>
      <c r="D15" s="24">
        <f ca="1">SUMIF('Oper.Nombre '!C:F,Resumen!B15,'Oper.Nombre '!L:L)</f>
        <v>0</v>
      </c>
      <c r="E15" s="24">
        <f ca="1">SUMIF('Oper.Nombre '!C:F,Resumen!B15,'Oper.Nombre '!Q:Q)</f>
        <v>0</v>
      </c>
      <c r="F15" s="27" t="e">
        <f t="shared" ca="1" si="2"/>
        <v>#DIV/0!</v>
      </c>
      <c r="G15" s="27" t="e">
        <f t="shared" ca="1" si="3"/>
        <v>#DIV/0!</v>
      </c>
    </row>
    <row r="16" spans="2:7">
      <c r="B16" s="90"/>
      <c r="C16" s="91"/>
      <c r="D16" s="24">
        <f ca="1">SUMIF('Oper.Nombre '!C:F,Resumen!B16,'Oper.Nombre '!L:L)</f>
        <v>0</v>
      </c>
      <c r="E16" s="24">
        <f ca="1">SUMIF('Oper.Nombre '!C:F,Resumen!B16,'Oper.Nombre '!Q:Q)</f>
        <v>0</v>
      </c>
      <c r="F16" s="27" t="e">
        <f t="shared" ca="1" si="2"/>
        <v>#DIV/0!</v>
      </c>
      <c r="G16" s="27" t="e">
        <f t="shared" ca="1" si="3"/>
        <v>#DIV/0!</v>
      </c>
    </row>
    <row r="17" spans="2:7">
      <c r="B17" s="90"/>
      <c r="C17" s="91"/>
      <c r="D17" s="24">
        <f ca="1">SUMIF('Oper.Nombre '!C:F,Resumen!B17,'Oper.Nombre '!L:L)</f>
        <v>0</v>
      </c>
      <c r="E17" s="24">
        <f ca="1">SUMIF('Oper.Nombre '!C:F,Resumen!B17,'Oper.Nombre '!Q:Q)</f>
        <v>0</v>
      </c>
      <c r="F17" s="27" t="e">
        <f t="shared" ca="1" si="2"/>
        <v>#DIV/0!</v>
      </c>
      <c r="G17" s="27" t="e">
        <f t="shared" ca="1" si="3"/>
        <v>#DIV/0!</v>
      </c>
    </row>
    <row r="18" spans="2:7">
      <c r="B18" s="90"/>
      <c r="C18" s="91"/>
      <c r="D18" s="24">
        <f ca="1">SUMIF('Oper.Nombre '!C:F,Resumen!B18,'Oper.Nombre '!L:L)</f>
        <v>0</v>
      </c>
      <c r="E18" s="24">
        <f ca="1">SUMIF('Oper.Nombre '!C:F,Resumen!B18,'Oper.Nombre '!Q:Q)</f>
        <v>0</v>
      </c>
      <c r="F18" s="27" t="e">
        <f t="shared" ca="1" si="2"/>
        <v>#DIV/0!</v>
      </c>
      <c r="G18" s="27" t="e">
        <f t="shared" ca="1" si="3"/>
        <v>#DIV/0!</v>
      </c>
    </row>
    <row r="19" spans="2:7">
      <c r="B19" s="90"/>
      <c r="C19" s="91"/>
      <c r="D19" s="24">
        <f ca="1">SUMIF('Oper.Nombre '!C:F,Resumen!B19,'Oper.Nombre '!L:L)</f>
        <v>0</v>
      </c>
      <c r="E19" s="24">
        <f ca="1">SUMIF('Oper.Nombre '!C:F,Resumen!B19,'Oper.Nombre '!Q:Q)</f>
        <v>0</v>
      </c>
      <c r="F19" s="27" t="e">
        <f t="shared" ca="1" si="2"/>
        <v>#DIV/0!</v>
      </c>
      <c r="G19" s="27" t="e">
        <f t="shared" ca="1" si="3"/>
        <v>#DIV/0!</v>
      </c>
    </row>
    <row r="20" spans="2:7">
      <c r="B20" s="90"/>
      <c r="C20" s="91"/>
      <c r="D20" s="24">
        <f ca="1">SUMIF('Oper.Nombre '!C:F,Resumen!B20,'Oper.Nombre '!L:L)</f>
        <v>0</v>
      </c>
      <c r="E20" s="24">
        <f ca="1">SUMIF('Oper.Nombre '!C:F,Resumen!B20,'Oper.Nombre '!Q:Q)</f>
        <v>0</v>
      </c>
      <c r="F20" s="27" t="e">
        <f t="shared" ca="1" si="2"/>
        <v>#DIV/0!</v>
      </c>
      <c r="G20" s="27" t="e">
        <f t="shared" ca="1" si="3"/>
        <v>#DIV/0!</v>
      </c>
    </row>
    <row r="21" spans="2:7">
      <c r="B21" s="90"/>
      <c r="C21" s="91"/>
      <c r="D21" s="24">
        <f ca="1">SUMIF('Oper.Nombre '!C:F,Resumen!B21,'Oper.Nombre '!L:L)</f>
        <v>0</v>
      </c>
      <c r="E21" s="24">
        <f ca="1">SUMIF('Oper.Nombre '!C:F,Resumen!B21,'Oper.Nombre '!Q:Q)</f>
        <v>0</v>
      </c>
      <c r="F21" s="27" t="e">
        <f t="shared" ca="1" si="2"/>
        <v>#DIV/0!</v>
      </c>
      <c r="G21" s="27" t="e">
        <f t="shared" ca="1" si="3"/>
        <v>#DIV/0!</v>
      </c>
    </row>
    <row r="22" spans="2:7">
      <c r="B22" s="90"/>
      <c r="C22" s="91"/>
      <c r="D22" s="24">
        <f ca="1">SUMIF('Oper.Nombre '!C:F,Resumen!B22,'Oper.Nombre '!L:L)</f>
        <v>0</v>
      </c>
      <c r="E22" s="24">
        <f ca="1">SUMIF('Oper.Nombre '!C:F,Resumen!B22,'Oper.Nombre '!Q:Q)</f>
        <v>0</v>
      </c>
      <c r="F22" s="27" t="e">
        <f t="shared" ca="1" si="2"/>
        <v>#DIV/0!</v>
      </c>
      <c r="G22" s="27" t="e">
        <f t="shared" ca="1" si="3"/>
        <v>#DIV/0!</v>
      </c>
    </row>
    <row r="23" spans="2:7">
      <c r="B23" s="90"/>
      <c r="C23" s="91"/>
      <c r="D23" s="24">
        <f ca="1">SUMIF('Oper.Nombre '!C:F,Resumen!B23,'Oper.Nombre '!L:L)</f>
        <v>0</v>
      </c>
      <c r="E23" s="24">
        <f ca="1">SUMIF('Oper.Nombre '!C:F,Resumen!B23,'Oper.Nombre '!Q:Q)</f>
        <v>0</v>
      </c>
      <c r="F23" s="27" t="e">
        <f t="shared" ref="F23" ca="1" si="4">D23/E23</f>
        <v>#DIV/0!</v>
      </c>
      <c r="G23" s="27" t="e">
        <f t="shared" ref="G23" ca="1" si="5">1-F23</f>
        <v>#DIV/0!</v>
      </c>
    </row>
    <row r="24" spans="2:7">
      <c r="B24" s="37"/>
      <c r="C24" s="38"/>
      <c r="D24" s="39"/>
      <c r="E24" s="39"/>
      <c r="F24" s="40"/>
      <c r="G24" s="40"/>
    </row>
    <row r="25" spans="2:7">
      <c r="B25" s="37"/>
      <c r="C25" s="38"/>
      <c r="D25" s="39"/>
      <c r="E25" s="39"/>
      <c r="F25" s="40"/>
      <c r="G25" s="40"/>
    </row>
    <row r="26" spans="2:7">
      <c r="B26" s="37"/>
      <c r="C26" s="38"/>
      <c r="D26" s="39"/>
      <c r="E26" s="39"/>
      <c r="F26" s="40"/>
      <c r="G26" s="40"/>
    </row>
    <row r="27" spans="2:7">
      <c r="B27" s="37"/>
      <c r="C27" s="38"/>
      <c r="D27" s="39"/>
      <c r="E27" s="39"/>
      <c r="F27" s="40"/>
      <c r="G27" s="40"/>
    </row>
    <row r="28" spans="2:7">
      <c r="B28" s="37"/>
      <c r="C28" s="38"/>
      <c r="D28" s="39"/>
      <c r="E28" s="39"/>
      <c r="F28" s="40"/>
      <c r="G28" s="40"/>
    </row>
    <row r="29" spans="2:7">
      <c r="B29" s="37"/>
      <c r="C29" s="38"/>
      <c r="D29" s="39"/>
      <c r="E29" s="39"/>
      <c r="F29" s="40"/>
      <c r="G29" s="40"/>
    </row>
    <row r="30" spans="2:7">
      <c r="B30" s="37"/>
      <c r="C30" s="38"/>
      <c r="D30" s="39"/>
      <c r="E30" s="39"/>
      <c r="F30" s="40"/>
      <c r="G30" s="40"/>
    </row>
    <row r="31" spans="2:7">
      <c r="B31" s="37"/>
      <c r="C31" s="38"/>
      <c r="D31" s="39"/>
      <c r="E31" s="39"/>
      <c r="F31" s="40"/>
      <c r="G31" s="40"/>
    </row>
  </sheetData>
  <mergeCells count="23">
    <mergeCell ref="E2:G2"/>
    <mergeCell ref="B3:C3"/>
    <mergeCell ref="B23:C23"/>
    <mergeCell ref="B21:C21"/>
    <mergeCell ref="B22:C22"/>
    <mergeCell ref="B20:C20"/>
    <mergeCell ref="B2:D2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B18:C18"/>
    <mergeCell ref="B19:C19"/>
    <mergeCell ref="B13:C13"/>
    <mergeCell ref="B14:C14"/>
    <mergeCell ref="B15:C15"/>
    <mergeCell ref="B16:C16"/>
    <mergeCell ref="B17:C17"/>
  </mergeCells>
  <conditionalFormatting sqref="G3">
    <cfRule type="cellIs" dxfId="8" priority="7" operator="between">
      <formula>0.91</formula>
      <formula>2</formula>
    </cfRule>
    <cfRule type="cellIs" dxfId="7" priority="8" operator="between">
      <formula>0.8</formula>
      <formula>0.9</formula>
    </cfRule>
    <cfRule type="cellIs" dxfId="6" priority="9" operator="between">
      <formula>0.01</formula>
      <formula>0.8</formula>
    </cfRule>
  </conditionalFormatting>
  <conditionalFormatting sqref="F3">
    <cfRule type="cellIs" dxfId="5" priority="4" operator="between">
      <formula>0.91</formula>
      <formula>2</formula>
    </cfRule>
    <cfRule type="cellIs" dxfId="4" priority="5" operator="between">
      <formula>0.8</formula>
      <formula>0.9</formula>
    </cfRule>
    <cfRule type="cellIs" dxfId="3" priority="6" operator="between">
      <formula>0.01</formula>
      <formula>0.8</formula>
    </cfRule>
  </conditionalFormatting>
  <dataValidations count="2">
    <dataValidation type="list" allowBlank="1" showInputMessage="1" showErrorMessage="1" sqref="E2:G2">
      <formula1>"SCOTIABANK_COLPATRIA, VANTI_CALIMAS,VANTI_ALAMOS,CUSTODIA_COTA,CUSTODIA_ALAMOS,LEGRAND,BANCO_DE_LA_REPUBLICA "</formula1>
    </dataValidation>
    <dataValidation type="list" allowBlank="1" showInputMessage="1" showErrorMessage="1" sqref="B24:B31">
      <formula1>$L$4:$L$108</formula1>
    </dataValidation>
  </dataValidations>
  <pageMargins left="0.7" right="0.7" top="0.75" bottom="0.75" header="0.3" footer="0.3"/>
  <pageSetup paperSize="9" orientation="portrait" r:id="rId1"/>
  <ignoredErrors>
    <ignoredError sqref="F15:G15 F20:G20" evalError="1"/>
  </ignoredError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'Registro de estadistica '!$K$4:$K$23</xm:f>
          </x14:formula1>
          <xm:sqref>B4:C23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Tabla de proceso</vt:lpstr>
      <vt:lpstr>Registro de estadistica </vt:lpstr>
      <vt:lpstr>Oper.Nombre </vt:lpstr>
      <vt:lpstr>Resumen</vt:lpstr>
      <vt:lpstr>'Tabla de proceso'!Área_de_impresión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Digitalizacion</dc:creator>
  <cp:lastModifiedBy>Usuario de Windows</cp:lastModifiedBy>
  <cp:lastPrinted>2022-10-10T20:19:50Z</cp:lastPrinted>
  <dcterms:created xsi:type="dcterms:W3CDTF">2015-06-05T18:19:34Z</dcterms:created>
  <dcterms:modified xsi:type="dcterms:W3CDTF">2026-01-06T21:07:08Z</dcterms:modified>
</cp:coreProperties>
</file>