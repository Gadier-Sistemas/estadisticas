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1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2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Documentos Admin\ESTADISTICAS DIARIAS CUSTODIA\ESTADISTICAS DIARIAS COTA\"/>
    </mc:Choice>
  </mc:AlternateContent>
  <bookViews>
    <workbookView xWindow="0" yWindow="0" windowWidth="19200" windowHeight="10290" firstSheet="1" activeTab="1"/>
  </bookViews>
  <sheets>
    <sheet name="Tabla de proceso" sheetId="9" state="hidden" r:id="rId1"/>
    <sheet name="Registro de estadistica " sheetId="25" r:id="rId2"/>
    <sheet name="Oper.Nombre " sheetId="2" r:id="rId3"/>
    <sheet name="Resumen" sheetId="23" r:id="rId4"/>
  </sheets>
  <externalReferences>
    <externalReference r:id="rId5"/>
  </externalReferences>
  <definedNames>
    <definedName name="_xlnm._FilterDatabase" localSheetId="2" hidden="1">'Oper.Nombre '!$A$5:$S$462</definedName>
    <definedName name="_xlnm._FilterDatabase" localSheetId="0" hidden="1">'Tabla de proceso'!$A$5:$G$28</definedName>
    <definedName name="_xlnm.Print_Area" localSheetId="0">'Tabla de proceso'!$A$5:$G$28</definedName>
    <definedName name="CALIDAD" localSheetId="0">'Tabla de proceso'!#REF!</definedName>
    <definedName name="CALIDAD">#REF!</definedName>
    <definedName name="CONSULTA" localSheetId="0">'Tabla de proceso'!#REF!</definedName>
    <definedName name="CONSULTA">#REF!</definedName>
    <definedName name="CONSULTAS">[1]PROCESOS!$B$15:$B$16</definedName>
    <definedName name="DIGITALIZACION" localSheetId="0">'Tabla de proceso'!#REF!</definedName>
    <definedName name="DIGITALIZACION">#REF!</definedName>
    <definedName name="DOCFISICO" localSheetId="0">'Tabla de proceso'!#REF!</definedName>
    <definedName name="DOCFISICO">#REF!</definedName>
    <definedName name="FRENTES">[1]PROCESOS!$B$8:$B$14</definedName>
    <definedName name="indexacion">#REF!</definedName>
    <definedName name="METAS">#REF!</definedName>
    <definedName name="PROCESO">#REF!</definedName>
    <definedName name="PROYECCCION">#REF!</definedName>
    <definedName name="PROYECCION">#REF!</definedName>
    <definedName name="PTECNICO" localSheetId="0">'Tabla de proceso'!#REF!</definedName>
    <definedName name="PTECNICO">#REF!</definedName>
    <definedName name="PTECNICOS">[1]PROCESOS!$B$24:$B$26</definedName>
    <definedName name="SOCIEDAD" localSheetId="0">'Tabla de proceso'!#REF!</definedName>
    <definedName name="SOCIEDAD">#REF!</definedName>
    <definedName name="TIPOLOGIAS">#REF!</definedName>
    <definedName name="TIPOS">#REF!</definedName>
    <definedName name="TOTALES">#REF!</definedName>
    <definedName name="Z_996BBF49_FEF8_4D99_A1F5_2B34CC578AFA_.wvu.Cols" localSheetId="0" hidden="1">'Tabla de proceso'!$E:$F</definedName>
    <definedName name="Z_996BBF49_FEF8_4D99_A1F5_2B34CC578AFA_.wvu.PrintArea" localSheetId="0" hidden="1">'Tabla de proceso'!$A$5:$G$28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5" i="2" l="1"/>
  <c r="N55" i="2"/>
  <c r="P55" i="2" s="1"/>
  <c r="K55" i="2"/>
  <c r="J55" i="2"/>
  <c r="D55" i="2"/>
  <c r="E55" i="2" s="1"/>
  <c r="G55" i="2" s="1"/>
  <c r="Q55" i="2" s="1"/>
  <c r="R55" i="2" s="1"/>
  <c r="C55" i="2"/>
  <c r="H55" i="2" l="1"/>
  <c r="F55" i="2"/>
  <c r="O67" i="2"/>
  <c r="N67" i="2"/>
  <c r="K67" i="2"/>
  <c r="J67" i="2"/>
  <c r="D67" i="2"/>
  <c r="E67" i="2" s="1"/>
  <c r="C67" i="2"/>
  <c r="O68" i="2"/>
  <c r="N68" i="2"/>
  <c r="P68" i="2" s="1"/>
  <c r="K68" i="2"/>
  <c r="J68" i="2"/>
  <c r="D68" i="2"/>
  <c r="E68" i="2" s="1"/>
  <c r="C68" i="2"/>
  <c r="O63" i="2"/>
  <c r="N63" i="2"/>
  <c r="K63" i="2"/>
  <c r="J63" i="2"/>
  <c r="D63" i="2"/>
  <c r="E63" i="2" s="1"/>
  <c r="C63" i="2"/>
  <c r="O60" i="2"/>
  <c r="N60" i="2"/>
  <c r="K60" i="2"/>
  <c r="J60" i="2"/>
  <c r="D60" i="2"/>
  <c r="E60" i="2" s="1"/>
  <c r="C60" i="2"/>
  <c r="O57" i="2"/>
  <c r="N57" i="2"/>
  <c r="K57" i="2"/>
  <c r="J57" i="2"/>
  <c r="D57" i="2"/>
  <c r="E57" i="2" s="1"/>
  <c r="C57" i="2"/>
  <c r="O50" i="2"/>
  <c r="N50" i="2"/>
  <c r="K50" i="2"/>
  <c r="J50" i="2"/>
  <c r="D50" i="2"/>
  <c r="E50" i="2" s="1"/>
  <c r="C50" i="2"/>
  <c r="O39" i="2"/>
  <c r="N39" i="2"/>
  <c r="K39" i="2"/>
  <c r="J39" i="2"/>
  <c r="D39" i="2"/>
  <c r="E39" i="2" s="1"/>
  <c r="C39" i="2"/>
  <c r="O40" i="2"/>
  <c r="N40" i="2"/>
  <c r="K40" i="2"/>
  <c r="J40" i="2"/>
  <c r="D40" i="2"/>
  <c r="E40" i="2" s="1"/>
  <c r="C40" i="2"/>
  <c r="O69" i="2"/>
  <c r="N69" i="2"/>
  <c r="K69" i="2"/>
  <c r="J69" i="2"/>
  <c r="D69" i="2"/>
  <c r="E69" i="2" s="1"/>
  <c r="C69" i="2"/>
  <c r="O66" i="2"/>
  <c r="N66" i="2"/>
  <c r="K66" i="2"/>
  <c r="J66" i="2"/>
  <c r="D66" i="2"/>
  <c r="E66" i="2" s="1"/>
  <c r="C66" i="2"/>
  <c r="O65" i="2"/>
  <c r="N65" i="2"/>
  <c r="K65" i="2"/>
  <c r="J65" i="2"/>
  <c r="D65" i="2"/>
  <c r="E65" i="2" s="1"/>
  <c r="C65" i="2"/>
  <c r="O64" i="2"/>
  <c r="N64" i="2"/>
  <c r="K64" i="2"/>
  <c r="J64" i="2"/>
  <c r="D64" i="2"/>
  <c r="E64" i="2" s="1"/>
  <c r="C64" i="2"/>
  <c r="O61" i="2"/>
  <c r="N61" i="2"/>
  <c r="K61" i="2"/>
  <c r="J61" i="2"/>
  <c r="D61" i="2"/>
  <c r="E61" i="2" s="1"/>
  <c r="C61" i="2"/>
  <c r="O62" i="2"/>
  <c r="N62" i="2"/>
  <c r="K62" i="2"/>
  <c r="J62" i="2"/>
  <c r="D62" i="2"/>
  <c r="E62" i="2" s="1"/>
  <c r="C62" i="2"/>
  <c r="O58" i="2"/>
  <c r="N58" i="2"/>
  <c r="K58" i="2"/>
  <c r="J58" i="2"/>
  <c r="D58" i="2"/>
  <c r="E58" i="2" s="1"/>
  <c r="F58" i="2" s="1"/>
  <c r="C58" i="2"/>
  <c r="P66" i="2" l="1"/>
  <c r="P50" i="2"/>
  <c r="P60" i="2"/>
  <c r="P69" i="2"/>
  <c r="P67" i="2"/>
  <c r="G67" i="2"/>
  <c r="Q67" i="2" s="1"/>
  <c r="R67" i="2" s="1"/>
  <c r="F67" i="2"/>
  <c r="H67" i="2"/>
  <c r="G68" i="2"/>
  <c r="Q68" i="2" s="1"/>
  <c r="R68" i="2" s="1"/>
  <c r="F68" i="2"/>
  <c r="H68" i="2"/>
  <c r="P61" i="2"/>
  <c r="P57" i="2"/>
  <c r="P58" i="2"/>
  <c r="P65" i="2"/>
  <c r="P39" i="2"/>
  <c r="P63" i="2"/>
  <c r="G63" i="2"/>
  <c r="F63" i="2"/>
  <c r="H63" i="2"/>
  <c r="G60" i="2"/>
  <c r="F60" i="2"/>
  <c r="H60" i="2"/>
  <c r="G57" i="2"/>
  <c r="F57" i="2"/>
  <c r="H57" i="2"/>
  <c r="G50" i="2"/>
  <c r="Q50" i="2" s="1"/>
  <c r="R50" i="2" s="1"/>
  <c r="F50" i="2"/>
  <c r="H50" i="2"/>
  <c r="G39" i="2"/>
  <c r="F39" i="2"/>
  <c r="H39" i="2"/>
  <c r="P40" i="2"/>
  <c r="G40" i="2"/>
  <c r="Q40" i="2" s="1"/>
  <c r="R40" i="2" s="1"/>
  <c r="F40" i="2"/>
  <c r="H40" i="2"/>
  <c r="P64" i="2"/>
  <c r="G69" i="2"/>
  <c r="Q69" i="2" s="1"/>
  <c r="R69" i="2" s="1"/>
  <c r="F69" i="2"/>
  <c r="H69" i="2"/>
  <c r="G66" i="2"/>
  <c r="Q66" i="2" s="1"/>
  <c r="R66" i="2" s="1"/>
  <c r="F66" i="2"/>
  <c r="H66" i="2"/>
  <c r="G65" i="2"/>
  <c r="F65" i="2"/>
  <c r="H65" i="2"/>
  <c r="G64" i="2"/>
  <c r="F64" i="2"/>
  <c r="H64" i="2"/>
  <c r="G61" i="2"/>
  <c r="F61" i="2"/>
  <c r="H61" i="2"/>
  <c r="P62" i="2"/>
  <c r="G62" i="2"/>
  <c r="Q62" i="2" s="1"/>
  <c r="R62" i="2" s="1"/>
  <c r="F62" i="2"/>
  <c r="H62" i="2"/>
  <c r="H58" i="2"/>
  <c r="G58" i="2"/>
  <c r="Q60" i="2" l="1"/>
  <c r="R60" i="2" s="1"/>
  <c r="Q39" i="2"/>
  <c r="R39" i="2" s="1"/>
  <c r="Q63" i="2"/>
  <c r="R63" i="2" s="1"/>
  <c r="Q65" i="2"/>
  <c r="R65" i="2" s="1"/>
  <c r="Q58" i="2"/>
  <c r="R58" i="2" s="1"/>
  <c r="Q61" i="2"/>
  <c r="R61" i="2" s="1"/>
  <c r="Q57" i="2"/>
  <c r="R57" i="2" s="1"/>
  <c r="Q64" i="2"/>
  <c r="R64" i="2" s="1"/>
  <c r="O59" i="2" l="1"/>
  <c r="N59" i="2"/>
  <c r="K59" i="2"/>
  <c r="J59" i="2"/>
  <c r="D59" i="2"/>
  <c r="E59" i="2" s="1"/>
  <c r="C59" i="2"/>
  <c r="O56" i="2"/>
  <c r="N56" i="2"/>
  <c r="K56" i="2"/>
  <c r="J56" i="2"/>
  <c r="D56" i="2"/>
  <c r="E56" i="2" s="1"/>
  <c r="C56" i="2"/>
  <c r="P56" i="2" l="1"/>
  <c r="P59" i="2"/>
  <c r="G59" i="2"/>
  <c r="F59" i="2"/>
  <c r="H59" i="2"/>
  <c r="G56" i="2"/>
  <c r="F56" i="2"/>
  <c r="H56" i="2"/>
  <c r="Q56" i="2" l="1"/>
  <c r="R56" i="2" s="1"/>
  <c r="Q59" i="2"/>
  <c r="R59" i="2" s="1"/>
  <c r="E26" i="9"/>
  <c r="F26" i="9" s="1"/>
  <c r="E25" i="9"/>
  <c r="F25" i="9"/>
  <c r="E27" i="9"/>
  <c r="F27" i="9"/>
  <c r="E19" i="9"/>
  <c r="F19" i="9" s="1"/>
  <c r="J302" i="2" l="1"/>
  <c r="O290" i="2"/>
  <c r="N290" i="2"/>
  <c r="K290" i="2"/>
  <c r="J290" i="2"/>
  <c r="D290" i="2"/>
  <c r="E290" i="2" s="1"/>
  <c r="G290" i="2" s="1"/>
  <c r="Q290" i="2" s="1"/>
  <c r="R290" i="2" s="1"/>
  <c r="C290" i="2"/>
  <c r="O291" i="2"/>
  <c r="N291" i="2"/>
  <c r="K291" i="2"/>
  <c r="J291" i="2"/>
  <c r="D291" i="2"/>
  <c r="E291" i="2" s="1"/>
  <c r="G291" i="2" s="1"/>
  <c r="Q291" i="2" s="1"/>
  <c r="R291" i="2" s="1"/>
  <c r="C291" i="2"/>
  <c r="O292" i="2"/>
  <c r="N292" i="2"/>
  <c r="K292" i="2"/>
  <c r="J292" i="2"/>
  <c r="D292" i="2"/>
  <c r="E292" i="2" s="1"/>
  <c r="C292" i="2"/>
  <c r="O293" i="2"/>
  <c r="N293" i="2"/>
  <c r="K293" i="2"/>
  <c r="J293" i="2"/>
  <c r="D293" i="2"/>
  <c r="E293" i="2" s="1"/>
  <c r="C293" i="2"/>
  <c r="O294" i="2"/>
  <c r="P294" i="2" s="1"/>
  <c r="N294" i="2"/>
  <c r="K294" i="2"/>
  <c r="J294" i="2"/>
  <c r="D294" i="2"/>
  <c r="E294" i="2" s="1"/>
  <c r="G294" i="2" s="1"/>
  <c r="Q294" i="2" s="1"/>
  <c r="R294" i="2" s="1"/>
  <c r="C294" i="2"/>
  <c r="O270" i="2"/>
  <c r="N270" i="2"/>
  <c r="K270" i="2"/>
  <c r="J270" i="2"/>
  <c r="D270" i="2"/>
  <c r="E270" i="2" s="1"/>
  <c r="C270" i="2"/>
  <c r="O271" i="2"/>
  <c r="P271" i="2" s="1"/>
  <c r="N271" i="2"/>
  <c r="K271" i="2"/>
  <c r="J271" i="2"/>
  <c r="D271" i="2"/>
  <c r="E271" i="2" s="1"/>
  <c r="C271" i="2"/>
  <c r="O272" i="2"/>
  <c r="N272" i="2"/>
  <c r="K272" i="2"/>
  <c r="J272" i="2"/>
  <c r="D272" i="2"/>
  <c r="E272" i="2" s="1"/>
  <c r="C272" i="2"/>
  <c r="O273" i="2"/>
  <c r="P273" i="2" s="1"/>
  <c r="N273" i="2"/>
  <c r="K273" i="2"/>
  <c r="J273" i="2"/>
  <c r="D273" i="2"/>
  <c r="E273" i="2" s="1"/>
  <c r="C273" i="2"/>
  <c r="O274" i="2"/>
  <c r="N274" i="2"/>
  <c r="K274" i="2"/>
  <c r="J274" i="2"/>
  <c r="D274" i="2"/>
  <c r="E274" i="2" s="1"/>
  <c r="C274" i="2"/>
  <c r="O275" i="2"/>
  <c r="P275" i="2" s="1"/>
  <c r="N275" i="2"/>
  <c r="K275" i="2"/>
  <c r="J275" i="2"/>
  <c r="D275" i="2"/>
  <c r="E275" i="2" s="1"/>
  <c r="C275" i="2"/>
  <c r="O276" i="2"/>
  <c r="P276" i="2" s="1"/>
  <c r="N276" i="2"/>
  <c r="K276" i="2"/>
  <c r="J276" i="2"/>
  <c r="D276" i="2"/>
  <c r="E276" i="2" s="1"/>
  <c r="C276" i="2"/>
  <c r="O277" i="2"/>
  <c r="P277" i="2" s="1"/>
  <c r="N277" i="2"/>
  <c r="K277" i="2"/>
  <c r="J277" i="2"/>
  <c r="D277" i="2"/>
  <c r="E277" i="2" s="1"/>
  <c r="C277" i="2"/>
  <c r="O278" i="2"/>
  <c r="P278" i="2" s="1"/>
  <c r="N278" i="2"/>
  <c r="K278" i="2"/>
  <c r="J278" i="2"/>
  <c r="D278" i="2"/>
  <c r="E278" i="2" s="1"/>
  <c r="G278" i="2" s="1"/>
  <c r="Q278" i="2" s="1"/>
  <c r="R278" i="2" s="1"/>
  <c r="C278" i="2"/>
  <c r="O279" i="2"/>
  <c r="P279" i="2" s="1"/>
  <c r="N279" i="2"/>
  <c r="K279" i="2"/>
  <c r="J279" i="2"/>
  <c r="D279" i="2"/>
  <c r="E279" i="2" s="1"/>
  <c r="C279" i="2"/>
  <c r="O255" i="2"/>
  <c r="P255" i="2" s="1"/>
  <c r="N255" i="2"/>
  <c r="K255" i="2"/>
  <c r="J255" i="2"/>
  <c r="D255" i="2"/>
  <c r="E255" i="2" s="1"/>
  <c r="F255" i="2" s="1"/>
  <c r="C255" i="2"/>
  <c r="O256" i="2"/>
  <c r="P256" i="2" s="1"/>
  <c r="N256" i="2"/>
  <c r="K256" i="2"/>
  <c r="J256" i="2"/>
  <c r="D256" i="2"/>
  <c r="E256" i="2" s="1"/>
  <c r="C256" i="2"/>
  <c r="O257" i="2"/>
  <c r="P257" i="2" s="1"/>
  <c r="N257" i="2"/>
  <c r="K257" i="2"/>
  <c r="J257" i="2"/>
  <c r="D257" i="2"/>
  <c r="E257" i="2" s="1"/>
  <c r="C257" i="2"/>
  <c r="O258" i="2"/>
  <c r="N258" i="2"/>
  <c r="K258" i="2"/>
  <c r="J258" i="2"/>
  <c r="D258" i="2"/>
  <c r="E258" i="2" s="1"/>
  <c r="C258" i="2"/>
  <c r="O259" i="2"/>
  <c r="N259" i="2"/>
  <c r="K259" i="2"/>
  <c r="J259" i="2"/>
  <c r="D259" i="2"/>
  <c r="E259" i="2" s="1"/>
  <c r="C259" i="2"/>
  <c r="O295" i="2"/>
  <c r="P295" i="2" s="1"/>
  <c r="N295" i="2"/>
  <c r="K295" i="2"/>
  <c r="J295" i="2"/>
  <c r="D295" i="2"/>
  <c r="E295" i="2" s="1"/>
  <c r="H295" i="2" s="1"/>
  <c r="C295" i="2"/>
  <c r="O296" i="2"/>
  <c r="P296" i="2" s="1"/>
  <c r="N296" i="2"/>
  <c r="K296" i="2"/>
  <c r="J296" i="2"/>
  <c r="D296" i="2"/>
  <c r="E296" i="2" s="1"/>
  <c r="H296" i="2" s="1"/>
  <c r="C296" i="2"/>
  <c r="O297" i="2"/>
  <c r="N297" i="2"/>
  <c r="K297" i="2"/>
  <c r="J297" i="2"/>
  <c r="D297" i="2"/>
  <c r="E297" i="2" s="1"/>
  <c r="C297" i="2"/>
  <c r="O280" i="2"/>
  <c r="N280" i="2"/>
  <c r="K280" i="2"/>
  <c r="J280" i="2"/>
  <c r="D280" i="2"/>
  <c r="E280" i="2" s="1"/>
  <c r="C280" i="2"/>
  <c r="O281" i="2"/>
  <c r="P281" i="2" s="1"/>
  <c r="N281" i="2"/>
  <c r="K281" i="2"/>
  <c r="J281" i="2"/>
  <c r="D281" i="2"/>
  <c r="E281" i="2" s="1"/>
  <c r="C281" i="2"/>
  <c r="O282" i="2"/>
  <c r="P282" i="2" s="1"/>
  <c r="N282" i="2"/>
  <c r="K282" i="2"/>
  <c r="J282" i="2"/>
  <c r="D282" i="2"/>
  <c r="E282" i="2" s="1"/>
  <c r="H282" i="2" s="1"/>
  <c r="C282" i="2"/>
  <c r="O283" i="2"/>
  <c r="P283" i="2" s="1"/>
  <c r="N283" i="2"/>
  <c r="K283" i="2"/>
  <c r="J283" i="2"/>
  <c r="D283" i="2"/>
  <c r="E283" i="2" s="1"/>
  <c r="C283" i="2"/>
  <c r="O284" i="2"/>
  <c r="N284" i="2"/>
  <c r="K284" i="2"/>
  <c r="J284" i="2"/>
  <c r="D284" i="2"/>
  <c r="E284" i="2" s="1"/>
  <c r="H284" i="2" s="1"/>
  <c r="C284" i="2"/>
  <c r="O260" i="2"/>
  <c r="P260" i="2" s="1"/>
  <c r="N260" i="2"/>
  <c r="K260" i="2"/>
  <c r="J260" i="2"/>
  <c r="D260" i="2"/>
  <c r="E260" i="2" s="1"/>
  <c r="H260" i="2" s="1"/>
  <c r="C260" i="2"/>
  <c r="O261" i="2"/>
  <c r="P261" i="2" s="1"/>
  <c r="N261" i="2"/>
  <c r="K261" i="2"/>
  <c r="J261" i="2"/>
  <c r="D261" i="2"/>
  <c r="E261" i="2" s="1"/>
  <c r="C261" i="2"/>
  <c r="O262" i="2"/>
  <c r="P262" i="2" s="1"/>
  <c r="N262" i="2"/>
  <c r="K262" i="2"/>
  <c r="J262" i="2"/>
  <c r="D262" i="2"/>
  <c r="E262" i="2" s="1"/>
  <c r="C262" i="2"/>
  <c r="O263" i="2"/>
  <c r="P263" i="2" s="1"/>
  <c r="N263" i="2"/>
  <c r="K263" i="2"/>
  <c r="J263" i="2"/>
  <c r="D263" i="2"/>
  <c r="E263" i="2" s="1"/>
  <c r="C263" i="2"/>
  <c r="P258" i="2"/>
  <c r="P292" i="2"/>
  <c r="P297" i="2"/>
  <c r="O298" i="2"/>
  <c r="N298" i="2"/>
  <c r="K298" i="2"/>
  <c r="J298" i="2"/>
  <c r="D298" i="2"/>
  <c r="E298" i="2" s="1"/>
  <c r="G298" i="2" s="1"/>
  <c r="Q298" i="2" s="1"/>
  <c r="R298" i="2" s="1"/>
  <c r="C298" i="2"/>
  <c r="O299" i="2"/>
  <c r="N299" i="2"/>
  <c r="K299" i="2"/>
  <c r="J299" i="2"/>
  <c r="D299" i="2"/>
  <c r="E299" i="2" s="1"/>
  <c r="G299" i="2" s="1"/>
  <c r="Q299" i="2" s="1"/>
  <c r="R299" i="2" s="1"/>
  <c r="C299" i="2"/>
  <c r="O300" i="2"/>
  <c r="N300" i="2"/>
  <c r="K300" i="2"/>
  <c r="J300" i="2"/>
  <c r="D300" i="2"/>
  <c r="E300" i="2" s="1"/>
  <c r="G300" i="2" s="1"/>
  <c r="Q300" i="2" s="1"/>
  <c r="R300" i="2" s="1"/>
  <c r="C300" i="2"/>
  <c r="O301" i="2"/>
  <c r="N301" i="2"/>
  <c r="K301" i="2"/>
  <c r="J301" i="2"/>
  <c r="D301" i="2"/>
  <c r="E301" i="2" s="1"/>
  <c r="C301" i="2"/>
  <c r="O285" i="2"/>
  <c r="N285" i="2"/>
  <c r="K285" i="2"/>
  <c r="J285" i="2"/>
  <c r="D285" i="2"/>
  <c r="E285" i="2" s="1"/>
  <c r="G285" i="2" s="1"/>
  <c r="Q285" i="2" s="1"/>
  <c r="R285" i="2" s="1"/>
  <c r="C285" i="2"/>
  <c r="O286" i="2"/>
  <c r="N286" i="2"/>
  <c r="P286" i="2" s="1"/>
  <c r="K286" i="2"/>
  <c r="J286" i="2"/>
  <c r="D286" i="2"/>
  <c r="E286" i="2" s="1"/>
  <c r="C286" i="2"/>
  <c r="O287" i="2"/>
  <c r="N287" i="2"/>
  <c r="K287" i="2"/>
  <c r="J287" i="2"/>
  <c r="D287" i="2"/>
  <c r="E287" i="2" s="1"/>
  <c r="G287" i="2" s="1"/>
  <c r="Q287" i="2" s="1"/>
  <c r="R287" i="2" s="1"/>
  <c r="C287" i="2"/>
  <c r="O288" i="2"/>
  <c r="N288" i="2"/>
  <c r="K288" i="2"/>
  <c r="J288" i="2"/>
  <c r="D288" i="2"/>
  <c r="E288" i="2" s="1"/>
  <c r="C288" i="2"/>
  <c r="O289" i="2"/>
  <c r="N289" i="2"/>
  <c r="K289" i="2"/>
  <c r="J289" i="2"/>
  <c r="D289" i="2"/>
  <c r="E289" i="2" s="1"/>
  <c r="C289" i="2"/>
  <c r="O264" i="2"/>
  <c r="N264" i="2"/>
  <c r="K264" i="2"/>
  <c r="J264" i="2"/>
  <c r="D264" i="2"/>
  <c r="E264" i="2" s="1"/>
  <c r="G264" i="2" s="1"/>
  <c r="Q264" i="2" s="1"/>
  <c r="R264" i="2" s="1"/>
  <c r="C264" i="2"/>
  <c r="O265" i="2"/>
  <c r="N265" i="2"/>
  <c r="K265" i="2"/>
  <c r="J265" i="2"/>
  <c r="D265" i="2"/>
  <c r="E265" i="2" s="1"/>
  <c r="F265" i="2" s="1"/>
  <c r="C265" i="2"/>
  <c r="O266" i="2"/>
  <c r="N266" i="2"/>
  <c r="K266" i="2"/>
  <c r="J266" i="2"/>
  <c r="D266" i="2"/>
  <c r="E266" i="2" s="1"/>
  <c r="C266" i="2"/>
  <c r="O267" i="2"/>
  <c r="N267" i="2"/>
  <c r="K267" i="2"/>
  <c r="J267" i="2"/>
  <c r="D267" i="2"/>
  <c r="E267" i="2" s="1"/>
  <c r="G267" i="2" s="1"/>
  <c r="Q267" i="2" s="1"/>
  <c r="R267" i="2" s="1"/>
  <c r="C267" i="2"/>
  <c r="O268" i="2"/>
  <c r="N268" i="2"/>
  <c r="K268" i="2"/>
  <c r="J268" i="2"/>
  <c r="D268" i="2"/>
  <c r="E268" i="2" s="1"/>
  <c r="H268" i="2" s="1"/>
  <c r="C268" i="2"/>
  <c r="O269" i="2"/>
  <c r="N269" i="2"/>
  <c r="K269" i="2"/>
  <c r="J269" i="2"/>
  <c r="D269" i="2"/>
  <c r="E269" i="2" s="1"/>
  <c r="C269" i="2"/>
  <c r="O238" i="2"/>
  <c r="N238" i="2"/>
  <c r="K238" i="2"/>
  <c r="J238" i="2"/>
  <c r="D238" i="2"/>
  <c r="E238" i="2" s="1"/>
  <c r="C238" i="2"/>
  <c r="O239" i="2"/>
  <c r="N239" i="2"/>
  <c r="K239" i="2"/>
  <c r="J239" i="2"/>
  <c r="D239" i="2"/>
  <c r="E239" i="2" s="1"/>
  <c r="C239" i="2"/>
  <c r="O240" i="2"/>
  <c r="N240" i="2"/>
  <c r="K240" i="2"/>
  <c r="J240" i="2"/>
  <c r="D240" i="2"/>
  <c r="E240" i="2" s="1"/>
  <c r="C240" i="2"/>
  <c r="O241" i="2"/>
  <c r="N241" i="2"/>
  <c r="K241" i="2"/>
  <c r="J241" i="2"/>
  <c r="D241" i="2"/>
  <c r="E241" i="2" s="1"/>
  <c r="H241" i="2" s="1"/>
  <c r="C241" i="2"/>
  <c r="O242" i="2"/>
  <c r="N242" i="2"/>
  <c r="K242" i="2"/>
  <c r="J242" i="2"/>
  <c r="D242" i="2"/>
  <c r="E242" i="2" s="1"/>
  <c r="G242" i="2" s="1"/>
  <c r="Q242" i="2" s="1"/>
  <c r="R242" i="2" s="1"/>
  <c r="C242" i="2"/>
  <c r="O222" i="2"/>
  <c r="N222" i="2"/>
  <c r="K222" i="2"/>
  <c r="J222" i="2"/>
  <c r="D222" i="2"/>
  <c r="E222" i="2" s="1"/>
  <c r="C222" i="2"/>
  <c r="O223" i="2"/>
  <c r="N223" i="2"/>
  <c r="K223" i="2"/>
  <c r="J223" i="2"/>
  <c r="D223" i="2"/>
  <c r="E223" i="2" s="1"/>
  <c r="C223" i="2"/>
  <c r="O224" i="2"/>
  <c r="N224" i="2"/>
  <c r="K224" i="2"/>
  <c r="J224" i="2"/>
  <c r="D224" i="2"/>
  <c r="E224" i="2" s="1"/>
  <c r="F224" i="2" s="1"/>
  <c r="C224" i="2"/>
  <c r="O225" i="2"/>
  <c r="N225" i="2"/>
  <c r="K225" i="2"/>
  <c r="J225" i="2"/>
  <c r="D225" i="2"/>
  <c r="E225" i="2" s="1"/>
  <c r="G225" i="2" s="1"/>
  <c r="Q225" i="2" s="1"/>
  <c r="R225" i="2" s="1"/>
  <c r="C225" i="2"/>
  <c r="O226" i="2"/>
  <c r="N226" i="2"/>
  <c r="K226" i="2"/>
  <c r="J226" i="2"/>
  <c r="D226" i="2"/>
  <c r="E226" i="2" s="1"/>
  <c r="C226" i="2"/>
  <c r="O227" i="2"/>
  <c r="N227" i="2"/>
  <c r="K227" i="2"/>
  <c r="J227" i="2"/>
  <c r="D227" i="2"/>
  <c r="E227" i="2" s="1"/>
  <c r="G227" i="2" s="1"/>
  <c r="Q227" i="2" s="1"/>
  <c r="R227" i="2" s="1"/>
  <c r="C227" i="2"/>
  <c r="O211" i="2"/>
  <c r="N211" i="2"/>
  <c r="K211" i="2"/>
  <c r="J211" i="2"/>
  <c r="D211" i="2"/>
  <c r="E211" i="2" s="1"/>
  <c r="C211" i="2"/>
  <c r="O212" i="2"/>
  <c r="N212" i="2"/>
  <c r="P212" i="2" s="1"/>
  <c r="K212" i="2"/>
  <c r="J212" i="2"/>
  <c r="D212" i="2"/>
  <c r="E212" i="2" s="1"/>
  <c r="C212" i="2"/>
  <c r="O213" i="2"/>
  <c r="N213" i="2"/>
  <c r="K213" i="2"/>
  <c r="J213" i="2"/>
  <c r="D213" i="2"/>
  <c r="E213" i="2" s="1"/>
  <c r="C213" i="2"/>
  <c r="O214" i="2"/>
  <c r="N214" i="2"/>
  <c r="K214" i="2"/>
  <c r="J214" i="2"/>
  <c r="D214" i="2"/>
  <c r="E214" i="2" s="1"/>
  <c r="H214" i="2" s="1"/>
  <c r="C214" i="2"/>
  <c r="O194" i="2"/>
  <c r="N194" i="2"/>
  <c r="P194" i="2" s="1"/>
  <c r="K194" i="2"/>
  <c r="J194" i="2"/>
  <c r="D194" i="2"/>
  <c r="E194" i="2" s="1"/>
  <c r="C194" i="2"/>
  <c r="O195" i="2"/>
  <c r="N195" i="2"/>
  <c r="K195" i="2"/>
  <c r="J195" i="2"/>
  <c r="D195" i="2"/>
  <c r="E195" i="2" s="1"/>
  <c r="F195" i="2" s="1"/>
  <c r="C195" i="2"/>
  <c r="O196" i="2"/>
  <c r="N196" i="2"/>
  <c r="K196" i="2"/>
  <c r="J196" i="2"/>
  <c r="D196" i="2"/>
  <c r="E196" i="2" s="1"/>
  <c r="H196" i="2" s="1"/>
  <c r="C196" i="2"/>
  <c r="O197" i="2"/>
  <c r="N197" i="2"/>
  <c r="K197" i="2"/>
  <c r="J197" i="2"/>
  <c r="D197" i="2"/>
  <c r="E197" i="2" s="1"/>
  <c r="H197" i="2" s="1"/>
  <c r="C197" i="2"/>
  <c r="O198" i="2"/>
  <c r="N198" i="2"/>
  <c r="K198" i="2"/>
  <c r="J198" i="2"/>
  <c r="D198" i="2"/>
  <c r="E198" i="2" s="1"/>
  <c r="H198" i="2" s="1"/>
  <c r="C198" i="2"/>
  <c r="O243" i="2"/>
  <c r="N243" i="2"/>
  <c r="K243" i="2"/>
  <c r="J243" i="2"/>
  <c r="D243" i="2"/>
  <c r="E243" i="2" s="1"/>
  <c r="C243" i="2"/>
  <c r="O244" i="2"/>
  <c r="N244" i="2"/>
  <c r="K244" i="2"/>
  <c r="J244" i="2"/>
  <c r="D244" i="2"/>
  <c r="E244" i="2" s="1"/>
  <c r="G244" i="2" s="1"/>
  <c r="Q244" i="2" s="1"/>
  <c r="R244" i="2" s="1"/>
  <c r="C244" i="2"/>
  <c r="O245" i="2"/>
  <c r="N245" i="2"/>
  <c r="K245" i="2"/>
  <c r="J245" i="2"/>
  <c r="D245" i="2"/>
  <c r="E245" i="2" s="1"/>
  <c r="C245" i="2"/>
  <c r="O246" i="2"/>
  <c r="N246" i="2"/>
  <c r="K246" i="2"/>
  <c r="J246" i="2"/>
  <c r="D246" i="2"/>
  <c r="E246" i="2" s="1"/>
  <c r="C246" i="2"/>
  <c r="O247" i="2"/>
  <c r="N247" i="2"/>
  <c r="K247" i="2"/>
  <c r="J247" i="2"/>
  <c r="D247" i="2"/>
  <c r="E247" i="2" s="1"/>
  <c r="F247" i="2" s="1"/>
  <c r="C247" i="2"/>
  <c r="O248" i="2"/>
  <c r="N248" i="2"/>
  <c r="K248" i="2"/>
  <c r="J248" i="2"/>
  <c r="D248" i="2"/>
  <c r="E248" i="2" s="1"/>
  <c r="G248" i="2" s="1"/>
  <c r="Q248" i="2" s="1"/>
  <c r="R248" i="2" s="1"/>
  <c r="C248" i="2"/>
  <c r="O249" i="2"/>
  <c r="N249" i="2"/>
  <c r="K249" i="2"/>
  <c r="J249" i="2"/>
  <c r="D249" i="2"/>
  <c r="E249" i="2" s="1"/>
  <c r="H249" i="2" s="1"/>
  <c r="C249" i="2"/>
  <c r="O228" i="2"/>
  <c r="N228" i="2"/>
  <c r="K228" i="2"/>
  <c r="J228" i="2"/>
  <c r="D228" i="2"/>
  <c r="E228" i="2" s="1"/>
  <c r="C228" i="2"/>
  <c r="O229" i="2"/>
  <c r="N229" i="2"/>
  <c r="K229" i="2"/>
  <c r="J229" i="2"/>
  <c r="D229" i="2"/>
  <c r="E229" i="2" s="1"/>
  <c r="H229" i="2" s="1"/>
  <c r="C229" i="2"/>
  <c r="O230" i="2"/>
  <c r="N230" i="2"/>
  <c r="K230" i="2"/>
  <c r="J230" i="2"/>
  <c r="D230" i="2"/>
  <c r="E230" i="2" s="1"/>
  <c r="H230" i="2" s="1"/>
  <c r="C230" i="2"/>
  <c r="O231" i="2"/>
  <c r="N231" i="2"/>
  <c r="K231" i="2"/>
  <c r="J231" i="2"/>
  <c r="D231" i="2"/>
  <c r="E231" i="2" s="1"/>
  <c r="C231" i="2"/>
  <c r="O232" i="2"/>
  <c r="N232" i="2"/>
  <c r="K232" i="2"/>
  <c r="J232" i="2"/>
  <c r="D232" i="2"/>
  <c r="E232" i="2" s="1"/>
  <c r="G232" i="2" s="1"/>
  <c r="Q232" i="2" s="1"/>
  <c r="R232" i="2" s="1"/>
  <c r="C232" i="2"/>
  <c r="O215" i="2"/>
  <c r="N215" i="2"/>
  <c r="K215" i="2"/>
  <c r="J215" i="2"/>
  <c r="D215" i="2"/>
  <c r="E215" i="2" s="1"/>
  <c r="C215" i="2"/>
  <c r="O216" i="2"/>
  <c r="N216" i="2"/>
  <c r="K216" i="2"/>
  <c r="J216" i="2"/>
  <c r="D216" i="2"/>
  <c r="E216" i="2" s="1"/>
  <c r="C216" i="2"/>
  <c r="O217" i="2"/>
  <c r="N217" i="2"/>
  <c r="K217" i="2"/>
  <c r="J217" i="2"/>
  <c r="D217" i="2"/>
  <c r="E217" i="2" s="1"/>
  <c r="G217" i="2" s="1"/>
  <c r="Q217" i="2" s="1"/>
  <c r="R217" i="2" s="1"/>
  <c r="C217" i="2"/>
  <c r="O218" i="2"/>
  <c r="N218" i="2"/>
  <c r="K218" i="2"/>
  <c r="J218" i="2"/>
  <c r="D218" i="2"/>
  <c r="E218" i="2" s="1"/>
  <c r="C218" i="2"/>
  <c r="O199" i="2"/>
  <c r="N199" i="2"/>
  <c r="K199" i="2"/>
  <c r="J199" i="2"/>
  <c r="D199" i="2"/>
  <c r="E199" i="2" s="1"/>
  <c r="G199" i="2" s="1"/>
  <c r="Q199" i="2" s="1"/>
  <c r="R199" i="2" s="1"/>
  <c r="C199" i="2"/>
  <c r="O200" i="2"/>
  <c r="N200" i="2"/>
  <c r="K200" i="2"/>
  <c r="J200" i="2"/>
  <c r="D200" i="2"/>
  <c r="E200" i="2" s="1"/>
  <c r="F200" i="2" s="1"/>
  <c r="C200" i="2"/>
  <c r="O201" i="2"/>
  <c r="N201" i="2"/>
  <c r="K201" i="2"/>
  <c r="J201" i="2"/>
  <c r="D201" i="2"/>
  <c r="E201" i="2" s="1"/>
  <c r="G201" i="2" s="1"/>
  <c r="Q201" i="2" s="1"/>
  <c r="R201" i="2" s="1"/>
  <c r="C201" i="2"/>
  <c r="O202" i="2"/>
  <c r="N202" i="2"/>
  <c r="K202" i="2"/>
  <c r="J202" i="2"/>
  <c r="D202" i="2"/>
  <c r="E202" i="2" s="1"/>
  <c r="C202" i="2"/>
  <c r="O203" i="2"/>
  <c r="N203" i="2"/>
  <c r="K203" i="2"/>
  <c r="J203" i="2"/>
  <c r="D203" i="2"/>
  <c r="E203" i="2" s="1"/>
  <c r="C203" i="2"/>
  <c r="O204" i="2"/>
  <c r="N204" i="2"/>
  <c r="K204" i="2"/>
  <c r="J204" i="2"/>
  <c r="D204" i="2"/>
  <c r="E204" i="2" s="1"/>
  <c r="G204" i="2" s="1"/>
  <c r="Q204" i="2" s="1"/>
  <c r="R204" i="2" s="1"/>
  <c r="C204" i="2"/>
  <c r="O250" i="2"/>
  <c r="N250" i="2"/>
  <c r="K250" i="2"/>
  <c r="J250" i="2"/>
  <c r="D250" i="2"/>
  <c r="E250" i="2" s="1"/>
  <c r="F250" i="2" s="1"/>
  <c r="C250" i="2"/>
  <c r="O251" i="2"/>
  <c r="N251" i="2"/>
  <c r="K251" i="2"/>
  <c r="J251" i="2"/>
  <c r="D251" i="2"/>
  <c r="E251" i="2" s="1"/>
  <c r="G251" i="2" s="1"/>
  <c r="Q251" i="2" s="1"/>
  <c r="R251" i="2" s="1"/>
  <c r="C251" i="2"/>
  <c r="O252" i="2"/>
  <c r="N252" i="2"/>
  <c r="K252" i="2"/>
  <c r="J252" i="2"/>
  <c r="D252" i="2"/>
  <c r="E252" i="2" s="1"/>
  <c r="C252" i="2"/>
  <c r="O253" i="2"/>
  <c r="N253" i="2"/>
  <c r="K253" i="2"/>
  <c r="J253" i="2"/>
  <c r="D253" i="2"/>
  <c r="E253" i="2" s="1"/>
  <c r="C253" i="2"/>
  <c r="O254" i="2"/>
  <c r="N254" i="2"/>
  <c r="K254" i="2"/>
  <c r="J254" i="2"/>
  <c r="D254" i="2"/>
  <c r="E254" i="2" s="1"/>
  <c r="F254" i="2" s="1"/>
  <c r="C254" i="2"/>
  <c r="O233" i="2"/>
  <c r="N233" i="2"/>
  <c r="K233" i="2"/>
  <c r="J233" i="2"/>
  <c r="D233" i="2"/>
  <c r="E233" i="2" s="1"/>
  <c r="C233" i="2"/>
  <c r="O234" i="2"/>
  <c r="N234" i="2"/>
  <c r="K234" i="2"/>
  <c r="J234" i="2"/>
  <c r="D234" i="2"/>
  <c r="E234" i="2" s="1"/>
  <c r="C234" i="2"/>
  <c r="O235" i="2"/>
  <c r="N235" i="2"/>
  <c r="K235" i="2"/>
  <c r="J235" i="2"/>
  <c r="D235" i="2"/>
  <c r="E235" i="2" s="1"/>
  <c r="F235" i="2" s="1"/>
  <c r="C235" i="2"/>
  <c r="O236" i="2"/>
  <c r="N236" i="2"/>
  <c r="K236" i="2"/>
  <c r="J236" i="2"/>
  <c r="D236" i="2"/>
  <c r="E236" i="2" s="1"/>
  <c r="G236" i="2" s="1"/>
  <c r="Q236" i="2" s="1"/>
  <c r="R236" i="2" s="1"/>
  <c r="C236" i="2"/>
  <c r="O237" i="2"/>
  <c r="N237" i="2"/>
  <c r="P237" i="2" s="1"/>
  <c r="K237" i="2"/>
  <c r="J237" i="2"/>
  <c r="D237" i="2"/>
  <c r="E237" i="2" s="1"/>
  <c r="C237" i="2"/>
  <c r="O219" i="2"/>
  <c r="N219" i="2"/>
  <c r="K219" i="2"/>
  <c r="J219" i="2"/>
  <c r="D219" i="2"/>
  <c r="E219" i="2" s="1"/>
  <c r="G219" i="2" s="1"/>
  <c r="Q219" i="2" s="1"/>
  <c r="R219" i="2" s="1"/>
  <c r="C219" i="2"/>
  <c r="O220" i="2"/>
  <c r="N220" i="2"/>
  <c r="K220" i="2"/>
  <c r="J220" i="2"/>
  <c r="D220" i="2"/>
  <c r="E220" i="2" s="1"/>
  <c r="C220" i="2"/>
  <c r="O221" i="2"/>
  <c r="N221" i="2"/>
  <c r="K221" i="2"/>
  <c r="J221" i="2"/>
  <c r="D221" i="2"/>
  <c r="E221" i="2" s="1"/>
  <c r="C221" i="2"/>
  <c r="O205" i="2"/>
  <c r="N205" i="2"/>
  <c r="K205" i="2"/>
  <c r="J205" i="2"/>
  <c r="D205" i="2"/>
  <c r="E205" i="2" s="1"/>
  <c r="H205" i="2" s="1"/>
  <c r="C205" i="2"/>
  <c r="O206" i="2"/>
  <c r="N206" i="2"/>
  <c r="K206" i="2"/>
  <c r="J206" i="2"/>
  <c r="D206" i="2"/>
  <c r="E206" i="2" s="1"/>
  <c r="H206" i="2" s="1"/>
  <c r="C206" i="2"/>
  <c r="O207" i="2"/>
  <c r="N207" i="2"/>
  <c r="K207" i="2"/>
  <c r="J207" i="2"/>
  <c r="D207" i="2"/>
  <c r="E207" i="2" s="1"/>
  <c r="G207" i="2" s="1"/>
  <c r="Q207" i="2" s="1"/>
  <c r="R207" i="2" s="1"/>
  <c r="C207" i="2"/>
  <c r="O208" i="2"/>
  <c r="N208" i="2"/>
  <c r="K208" i="2"/>
  <c r="J208" i="2"/>
  <c r="D208" i="2"/>
  <c r="E208" i="2" s="1"/>
  <c r="F208" i="2" s="1"/>
  <c r="C208" i="2"/>
  <c r="O209" i="2"/>
  <c r="N209" i="2"/>
  <c r="K209" i="2"/>
  <c r="J209" i="2"/>
  <c r="D209" i="2"/>
  <c r="E209" i="2" s="1"/>
  <c r="H209" i="2" s="1"/>
  <c r="C209" i="2"/>
  <c r="O210" i="2"/>
  <c r="N210" i="2"/>
  <c r="K210" i="2"/>
  <c r="J210" i="2"/>
  <c r="D210" i="2"/>
  <c r="E210" i="2" s="1"/>
  <c r="F210" i="2" s="1"/>
  <c r="C210" i="2"/>
  <c r="O184" i="2"/>
  <c r="N184" i="2"/>
  <c r="K184" i="2"/>
  <c r="J184" i="2"/>
  <c r="D184" i="2"/>
  <c r="E184" i="2" s="1"/>
  <c r="C184" i="2"/>
  <c r="O185" i="2"/>
  <c r="N185" i="2"/>
  <c r="K185" i="2"/>
  <c r="J185" i="2"/>
  <c r="D185" i="2"/>
  <c r="E185" i="2" s="1"/>
  <c r="G185" i="2" s="1"/>
  <c r="Q185" i="2" s="1"/>
  <c r="R185" i="2" s="1"/>
  <c r="C185" i="2"/>
  <c r="O186" i="2"/>
  <c r="N186" i="2"/>
  <c r="K186" i="2"/>
  <c r="J186" i="2"/>
  <c r="D186" i="2"/>
  <c r="E186" i="2" s="1"/>
  <c r="G186" i="2" s="1"/>
  <c r="Q186" i="2" s="1"/>
  <c r="R186" i="2" s="1"/>
  <c r="C186" i="2"/>
  <c r="O187" i="2"/>
  <c r="N187" i="2"/>
  <c r="K187" i="2"/>
  <c r="J187" i="2"/>
  <c r="D187" i="2"/>
  <c r="E187" i="2" s="1"/>
  <c r="H187" i="2" s="1"/>
  <c r="C187" i="2"/>
  <c r="O188" i="2"/>
  <c r="N188" i="2"/>
  <c r="K188" i="2"/>
  <c r="J188" i="2"/>
  <c r="D188" i="2"/>
  <c r="E188" i="2" s="1"/>
  <c r="C188" i="2"/>
  <c r="O166" i="2"/>
  <c r="N166" i="2"/>
  <c r="K166" i="2"/>
  <c r="J166" i="2"/>
  <c r="D166" i="2"/>
  <c r="E166" i="2" s="1"/>
  <c r="H166" i="2" s="1"/>
  <c r="C166" i="2"/>
  <c r="O167" i="2"/>
  <c r="N167" i="2"/>
  <c r="K167" i="2"/>
  <c r="J167" i="2"/>
  <c r="D167" i="2"/>
  <c r="E167" i="2" s="1"/>
  <c r="C167" i="2"/>
  <c r="O168" i="2"/>
  <c r="N168" i="2"/>
  <c r="K168" i="2"/>
  <c r="J168" i="2"/>
  <c r="D168" i="2"/>
  <c r="E168" i="2" s="1"/>
  <c r="F168" i="2" s="1"/>
  <c r="C168" i="2"/>
  <c r="O169" i="2"/>
  <c r="N169" i="2"/>
  <c r="K169" i="2"/>
  <c r="J169" i="2"/>
  <c r="D169" i="2"/>
  <c r="E169" i="2" s="1"/>
  <c r="C169" i="2"/>
  <c r="O170" i="2"/>
  <c r="N170" i="2"/>
  <c r="K170" i="2"/>
  <c r="J170" i="2"/>
  <c r="D170" i="2"/>
  <c r="E170" i="2" s="1"/>
  <c r="C170" i="2"/>
  <c r="O171" i="2"/>
  <c r="N171" i="2"/>
  <c r="K171" i="2"/>
  <c r="J171" i="2"/>
  <c r="D171" i="2"/>
  <c r="E171" i="2" s="1"/>
  <c r="G171" i="2" s="1"/>
  <c r="Q171" i="2" s="1"/>
  <c r="R171" i="2" s="1"/>
  <c r="C171" i="2"/>
  <c r="O172" i="2"/>
  <c r="N172" i="2"/>
  <c r="K172" i="2"/>
  <c r="J172" i="2"/>
  <c r="D172" i="2"/>
  <c r="E172" i="2" s="1"/>
  <c r="H172" i="2" s="1"/>
  <c r="C172" i="2"/>
  <c r="O152" i="2"/>
  <c r="N152" i="2"/>
  <c r="K152" i="2"/>
  <c r="J152" i="2"/>
  <c r="D152" i="2"/>
  <c r="E152" i="2" s="1"/>
  <c r="H152" i="2" s="1"/>
  <c r="C152" i="2"/>
  <c r="O153" i="2"/>
  <c r="N153" i="2"/>
  <c r="K153" i="2"/>
  <c r="J153" i="2"/>
  <c r="D153" i="2"/>
  <c r="E153" i="2" s="1"/>
  <c r="G153" i="2" s="1"/>
  <c r="Q153" i="2" s="1"/>
  <c r="R153" i="2" s="1"/>
  <c r="C153" i="2"/>
  <c r="O154" i="2"/>
  <c r="N154" i="2"/>
  <c r="K154" i="2"/>
  <c r="J154" i="2"/>
  <c r="D154" i="2"/>
  <c r="E154" i="2" s="1"/>
  <c r="C154" i="2"/>
  <c r="O155" i="2"/>
  <c r="N155" i="2"/>
  <c r="K155" i="2"/>
  <c r="J155" i="2"/>
  <c r="D155" i="2"/>
  <c r="E155" i="2" s="1"/>
  <c r="C155" i="2"/>
  <c r="O156" i="2"/>
  <c r="N156" i="2"/>
  <c r="K156" i="2"/>
  <c r="J156" i="2"/>
  <c r="D156" i="2"/>
  <c r="E156" i="2" s="1"/>
  <c r="C156" i="2"/>
  <c r="O157" i="2"/>
  <c r="N157" i="2"/>
  <c r="K157" i="2"/>
  <c r="J157" i="2"/>
  <c r="D157" i="2"/>
  <c r="E157" i="2" s="1"/>
  <c r="G157" i="2" s="1"/>
  <c r="Q157" i="2" s="1"/>
  <c r="R157" i="2" s="1"/>
  <c r="C157" i="2"/>
  <c r="O134" i="2"/>
  <c r="P134" i="2" s="1"/>
  <c r="N134" i="2"/>
  <c r="K134" i="2"/>
  <c r="J134" i="2"/>
  <c r="D134" i="2"/>
  <c r="E134" i="2" s="1"/>
  <c r="C134" i="2"/>
  <c r="O135" i="2"/>
  <c r="N135" i="2"/>
  <c r="K135" i="2"/>
  <c r="J135" i="2"/>
  <c r="D135" i="2"/>
  <c r="E135" i="2" s="1"/>
  <c r="C135" i="2"/>
  <c r="O136" i="2"/>
  <c r="N136" i="2"/>
  <c r="K136" i="2"/>
  <c r="J136" i="2"/>
  <c r="D136" i="2"/>
  <c r="E136" i="2" s="1"/>
  <c r="G136" i="2" s="1"/>
  <c r="Q136" i="2" s="1"/>
  <c r="R136" i="2" s="1"/>
  <c r="C136" i="2"/>
  <c r="O137" i="2"/>
  <c r="N137" i="2"/>
  <c r="K137" i="2"/>
  <c r="J137" i="2"/>
  <c r="D137" i="2"/>
  <c r="E137" i="2" s="1"/>
  <c r="C137" i="2"/>
  <c r="O138" i="2"/>
  <c r="N138" i="2"/>
  <c r="K138" i="2"/>
  <c r="J138" i="2"/>
  <c r="D138" i="2"/>
  <c r="E138" i="2" s="1"/>
  <c r="G138" i="2" s="1"/>
  <c r="Q138" i="2" s="1"/>
  <c r="R138" i="2" s="1"/>
  <c r="C138" i="2"/>
  <c r="O139" i="2"/>
  <c r="N139" i="2"/>
  <c r="K139" i="2"/>
  <c r="J139" i="2"/>
  <c r="D139" i="2"/>
  <c r="E139" i="2" s="1"/>
  <c r="C139" i="2"/>
  <c r="O140" i="2"/>
  <c r="N140" i="2"/>
  <c r="K140" i="2"/>
  <c r="J140" i="2"/>
  <c r="D140" i="2"/>
  <c r="E140" i="2" s="1"/>
  <c r="H140" i="2" s="1"/>
  <c r="C140" i="2"/>
  <c r="O141" i="2"/>
  <c r="N141" i="2"/>
  <c r="K141" i="2"/>
  <c r="J141" i="2"/>
  <c r="D141" i="2"/>
  <c r="E141" i="2" s="1"/>
  <c r="H141" i="2" s="1"/>
  <c r="C141" i="2"/>
  <c r="O142" i="2"/>
  <c r="N142" i="2"/>
  <c r="K142" i="2"/>
  <c r="J142" i="2"/>
  <c r="D142" i="2"/>
  <c r="E142" i="2" s="1"/>
  <c r="G142" i="2" s="1"/>
  <c r="Q142" i="2" s="1"/>
  <c r="R142" i="2" s="1"/>
  <c r="C142" i="2"/>
  <c r="O143" i="2"/>
  <c r="N143" i="2"/>
  <c r="K143" i="2"/>
  <c r="J143" i="2"/>
  <c r="D143" i="2"/>
  <c r="E143" i="2" s="1"/>
  <c r="C143" i="2"/>
  <c r="O144" i="2"/>
  <c r="N144" i="2"/>
  <c r="K144" i="2"/>
  <c r="J144" i="2"/>
  <c r="D144" i="2"/>
  <c r="E144" i="2" s="1"/>
  <c r="G144" i="2" s="1"/>
  <c r="Q144" i="2" s="1"/>
  <c r="R144" i="2" s="1"/>
  <c r="C144" i="2"/>
  <c r="O145" i="2"/>
  <c r="N145" i="2"/>
  <c r="K145" i="2"/>
  <c r="J145" i="2"/>
  <c r="D145" i="2"/>
  <c r="E145" i="2" s="1"/>
  <c r="C145" i="2"/>
  <c r="O121" i="2"/>
  <c r="N121" i="2"/>
  <c r="K121" i="2"/>
  <c r="J121" i="2"/>
  <c r="D121" i="2"/>
  <c r="E121" i="2" s="1"/>
  <c r="C121" i="2"/>
  <c r="O122" i="2"/>
  <c r="N122" i="2"/>
  <c r="K122" i="2"/>
  <c r="J122" i="2"/>
  <c r="D122" i="2"/>
  <c r="E122" i="2" s="1"/>
  <c r="C122" i="2"/>
  <c r="O123" i="2"/>
  <c r="N123" i="2"/>
  <c r="K123" i="2"/>
  <c r="J123" i="2"/>
  <c r="D123" i="2"/>
  <c r="E123" i="2" s="1"/>
  <c r="C123" i="2"/>
  <c r="O124" i="2"/>
  <c r="N124" i="2"/>
  <c r="K124" i="2"/>
  <c r="J124" i="2"/>
  <c r="D124" i="2"/>
  <c r="E124" i="2" s="1"/>
  <c r="F124" i="2" s="1"/>
  <c r="C124" i="2"/>
  <c r="O125" i="2"/>
  <c r="N125" i="2"/>
  <c r="K125" i="2"/>
  <c r="J125" i="2"/>
  <c r="D125" i="2"/>
  <c r="E125" i="2" s="1"/>
  <c r="F125" i="2" s="1"/>
  <c r="C125" i="2"/>
  <c r="O126" i="2"/>
  <c r="N126" i="2"/>
  <c r="K126" i="2"/>
  <c r="J126" i="2"/>
  <c r="D126" i="2"/>
  <c r="E126" i="2" s="1"/>
  <c r="F126" i="2" s="1"/>
  <c r="C126" i="2"/>
  <c r="O99" i="2"/>
  <c r="N99" i="2"/>
  <c r="K99" i="2"/>
  <c r="J99" i="2"/>
  <c r="D99" i="2"/>
  <c r="E99" i="2" s="1"/>
  <c r="C99" i="2"/>
  <c r="O100" i="2"/>
  <c r="N100" i="2"/>
  <c r="K100" i="2"/>
  <c r="J100" i="2"/>
  <c r="D100" i="2"/>
  <c r="E100" i="2" s="1"/>
  <c r="H100" i="2" s="1"/>
  <c r="C100" i="2"/>
  <c r="O101" i="2"/>
  <c r="N101" i="2"/>
  <c r="K101" i="2"/>
  <c r="J101" i="2"/>
  <c r="D101" i="2"/>
  <c r="E101" i="2" s="1"/>
  <c r="H101" i="2" s="1"/>
  <c r="C101" i="2"/>
  <c r="O102" i="2"/>
  <c r="N102" i="2"/>
  <c r="K102" i="2"/>
  <c r="J102" i="2"/>
  <c r="D102" i="2"/>
  <c r="E102" i="2" s="1"/>
  <c r="C102" i="2"/>
  <c r="O103" i="2"/>
  <c r="N103" i="2"/>
  <c r="K103" i="2"/>
  <c r="J103" i="2"/>
  <c r="D103" i="2"/>
  <c r="E103" i="2" s="1"/>
  <c r="G103" i="2" s="1"/>
  <c r="Q103" i="2" s="1"/>
  <c r="R103" i="2" s="1"/>
  <c r="C103" i="2"/>
  <c r="O104" i="2"/>
  <c r="N104" i="2"/>
  <c r="K104" i="2"/>
  <c r="J104" i="2"/>
  <c r="D104" i="2"/>
  <c r="E104" i="2" s="1"/>
  <c r="H104" i="2" s="1"/>
  <c r="C104" i="2"/>
  <c r="O105" i="2"/>
  <c r="N105" i="2"/>
  <c r="K105" i="2"/>
  <c r="J105" i="2"/>
  <c r="D105" i="2"/>
  <c r="E105" i="2" s="1"/>
  <c r="F105" i="2" s="1"/>
  <c r="C105" i="2"/>
  <c r="O106" i="2"/>
  <c r="N106" i="2"/>
  <c r="K106" i="2"/>
  <c r="J106" i="2"/>
  <c r="D106" i="2"/>
  <c r="E106" i="2" s="1"/>
  <c r="H106" i="2" s="1"/>
  <c r="C106" i="2"/>
  <c r="O107" i="2"/>
  <c r="N107" i="2"/>
  <c r="K107" i="2"/>
  <c r="J107" i="2"/>
  <c r="D107" i="2"/>
  <c r="E107" i="2" s="1"/>
  <c r="C107" i="2"/>
  <c r="O108" i="2"/>
  <c r="N108" i="2"/>
  <c r="K108" i="2"/>
  <c r="J108" i="2"/>
  <c r="D108" i="2"/>
  <c r="E108" i="2" s="1"/>
  <c r="C108" i="2"/>
  <c r="O89" i="2"/>
  <c r="N89" i="2"/>
  <c r="K89" i="2"/>
  <c r="J89" i="2"/>
  <c r="D89" i="2"/>
  <c r="E89" i="2" s="1"/>
  <c r="G89" i="2" s="1"/>
  <c r="Q89" i="2" s="1"/>
  <c r="R89" i="2" s="1"/>
  <c r="C89" i="2"/>
  <c r="O90" i="2"/>
  <c r="N90" i="2"/>
  <c r="K90" i="2"/>
  <c r="J90" i="2"/>
  <c r="D90" i="2"/>
  <c r="E90" i="2" s="1"/>
  <c r="F90" i="2" s="1"/>
  <c r="C90" i="2"/>
  <c r="O91" i="2"/>
  <c r="N91" i="2"/>
  <c r="K91" i="2"/>
  <c r="J91" i="2"/>
  <c r="D91" i="2"/>
  <c r="E91" i="2" s="1"/>
  <c r="C91" i="2"/>
  <c r="O92" i="2"/>
  <c r="N92" i="2"/>
  <c r="K92" i="2"/>
  <c r="J92" i="2"/>
  <c r="D92" i="2"/>
  <c r="E92" i="2" s="1"/>
  <c r="C92" i="2"/>
  <c r="O93" i="2"/>
  <c r="N93" i="2"/>
  <c r="K93" i="2"/>
  <c r="J93" i="2"/>
  <c r="D93" i="2"/>
  <c r="E93" i="2" s="1"/>
  <c r="F93" i="2" s="1"/>
  <c r="C93" i="2"/>
  <c r="O94" i="2"/>
  <c r="N94" i="2"/>
  <c r="K94" i="2"/>
  <c r="J94" i="2"/>
  <c r="D94" i="2"/>
  <c r="E94" i="2" s="1"/>
  <c r="C94" i="2"/>
  <c r="O95" i="2"/>
  <c r="N95" i="2"/>
  <c r="K95" i="2"/>
  <c r="J95" i="2"/>
  <c r="D95" i="2"/>
  <c r="E95" i="2" s="1"/>
  <c r="H95" i="2" s="1"/>
  <c r="C95" i="2"/>
  <c r="O71" i="2"/>
  <c r="N71" i="2"/>
  <c r="K71" i="2"/>
  <c r="J71" i="2"/>
  <c r="D71" i="2"/>
  <c r="E71" i="2" s="1"/>
  <c r="G71" i="2" s="1"/>
  <c r="Q71" i="2" s="1"/>
  <c r="R71" i="2" s="1"/>
  <c r="C71" i="2"/>
  <c r="O72" i="2"/>
  <c r="N72" i="2"/>
  <c r="K72" i="2"/>
  <c r="J72" i="2"/>
  <c r="D72" i="2"/>
  <c r="E72" i="2" s="1"/>
  <c r="G72" i="2" s="1"/>
  <c r="Q72" i="2" s="1"/>
  <c r="R72" i="2" s="1"/>
  <c r="C72" i="2"/>
  <c r="O73" i="2"/>
  <c r="N73" i="2"/>
  <c r="K73" i="2"/>
  <c r="J73" i="2"/>
  <c r="D73" i="2"/>
  <c r="E73" i="2" s="1"/>
  <c r="C73" i="2"/>
  <c r="O74" i="2"/>
  <c r="N74" i="2"/>
  <c r="K74" i="2"/>
  <c r="J74" i="2"/>
  <c r="D74" i="2"/>
  <c r="E74" i="2" s="1"/>
  <c r="C74" i="2"/>
  <c r="O75" i="2"/>
  <c r="N75" i="2"/>
  <c r="K75" i="2"/>
  <c r="J75" i="2"/>
  <c r="D75" i="2"/>
  <c r="E75" i="2" s="1"/>
  <c r="G75" i="2" s="1"/>
  <c r="Q75" i="2" s="1"/>
  <c r="R75" i="2" s="1"/>
  <c r="C75" i="2"/>
  <c r="O76" i="2"/>
  <c r="N76" i="2"/>
  <c r="K76" i="2"/>
  <c r="J76" i="2"/>
  <c r="D76" i="2"/>
  <c r="E76" i="2" s="1"/>
  <c r="G76" i="2" s="1"/>
  <c r="Q76" i="2" s="1"/>
  <c r="R76" i="2" s="1"/>
  <c r="C76" i="2"/>
  <c r="O189" i="2"/>
  <c r="N189" i="2"/>
  <c r="K189" i="2"/>
  <c r="J189" i="2"/>
  <c r="D189" i="2"/>
  <c r="E189" i="2" s="1"/>
  <c r="C189" i="2"/>
  <c r="O190" i="2"/>
  <c r="N190" i="2"/>
  <c r="K190" i="2"/>
  <c r="J190" i="2"/>
  <c r="D190" i="2"/>
  <c r="E190" i="2" s="1"/>
  <c r="G190" i="2" s="1"/>
  <c r="Q190" i="2" s="1"/>
  <c r="R190" i="2" s="1"/>
  <c r="C190" i="2"/>
  <c r="O173" i="2"/>
  <c r="N173" i="2"/>
  <c r="K173" i="2"/>
  <c r="J173" i="2"/>
  <c r="D173" i="2"/>
  <c r="E173" i="2" s="1"/>
  <c r="F173" i="2" s="1"/>
  <c r="C173" i="2"/>
  <c r="O174" i="2"/>
  <c r="N174" i="2"/>
  <c r="K174" i="2"/>
  <c r="J174" i="2"/>
  <c r="D174" i="2"/>
  <c r="E174" i="2" s="1"/>
  <c r="F174" i="2" s="1"/>
  <c r="C174" i="2"/>
  <c r="O175" i="2"/>
  <c r="N175" i="2"/>
  <c r="K175" i="2"/>
  <c r="J175" i="2"/>
  <c r="D175" i="2"/>
  <c r="E175" i="2" s="1"/>
  <c r="C175" i="2"/>
  <c r="O176" i="2"/>
  <c r="P176" i="2" s="1"/>
  <c r="N176" i="2"/>
  <c r="K176" i="2"/>
  <c r="J176" i="2"/>
  <c r="D176" i="2"/>
  <c r="E176" i="2" s="1"/>
  <c r="G176" i="2" s="1"/>
  <c r="Q176" i="2" s="1"/>
  <c r="R176" i="2" s="1"/>
  <c r="C176" i="2"/>
  <c r="O177" i="2"/>
  <c r="N177" i="2"/>
  <c r="K177" i="2"/>
  <c r="J177" i="2"/>
  <c r="D177" i="2"/>
  <c r="E177" i="2" s="1"/>
  <c r="G177" i="2" s="1"/>
  <c r="Q177" i="2" s="1"/>
  <c r="R177" i="2" s="1"/>
  <c r="C177" i="2"/>
  <c r="O178" i="2"/>
  <c r="N178" i="2"/>
  <c r="K178" i="2"/>
  <c r="J178" i="2"/>
  <c r="D178" i="2"/>
  <c r="E178" i="2" s="1"/>
  <c r="C178" i="2"/>
  <c r="O179" i="2"/>
  <c r="N179" i="2"/>
  <c r="K179" i="2"/>
  <c r="J179" i="2"/>
  <c r="D179" i="2"/>
  <c r="E179" i="2" s="1"/>
  <c r="F179" i="2" s="1"/>
  <c r="C179" i="2"/>
  <c r="O158" i="2"/>
  <c r="N158" i="2"/>
  <c r="K158" i="2"/>
  <c r="J158" i="2"/>
  <c r="D158" i="2"/>
  <c r="E158" i="2" s="1"/>
  <c r="G158" i="2" s="1"/>
  <c r="Q158" i="2" s="1"/>
  <c r="R158" i="2" s="1"/>
  <c r="C158" i="2"/>
  <c r="O159" i="2"/>
  <c r="N159" i="2"/>
  <c r="K159" i="2"/>
  <c r="J159" i="2"/>
  <c r="D159" i="2"/>
  <c r="E159" i="2" s="1"/>
  <c r="C159" i="2"/>
  <c r="O160" i="2"/>
  <c r="N160" i="2"/>
  <c r="K160" i="2"/>
  <c r="J160" i="2"/>
  <c r="D160" i="2"/>
  <c r="E160" i="2" s="1"/>
  <c r="C160" i="2"/>
  <c r="O161" i="2"/>
  <c r="N161" i="2"/>
  <c r="K161" i="2"/>
  <c r="J161" i="2"/>
  <c r="D161" i="2"/>
  <c r="E161" i="2" s="1"/>
  <c r="H161" i="2" s="1"/>
  <c r="C161" i="2"/>
  <c r="N162" i="2"/>
  <c r="O162" i="2"/>
  <c r="K162" i="2"/>
  <c r="J162" i="2"/>
  <c r="D162" i="2"/>
  <c r="E162" i="2" s="1"/>
  <c r="C162" i="2"/>
  <c r="O146" i="2"/>
  <c r="N146" i="2"/>
  <c r="K146" i="2"/>
  <c r="J146" i="2"/>
  <c r="D146" i="2"/>
  <c r="E146" i="2" s="1"/>
  <c r="F146" i="2" s="1"/>
  <c r="C146" i="2"/>
  <c r="O147" i="2"/>
  <c r="N147" i="2"/>
  <c r="K147" i="2"/>
  <c r="J147" i="2"/>
  <c r="D147" i="2"/>
  <c r="E147" i="2" s="1"/>
  <c r="C147" i="2"/>
  <c r="O127" i="2"/>
  <c r="N127" i="2"/>
  <c r="K127" i="2"/>
  <c r="J127" i="2"/>
  <c r="D127" i="2"/>
  <c r="E127" i="2" s="1"/>
  <c r="C127" i="2"/>
  <c r="O128" i="2"/>
  <c r="N128" i="2"/>
  <c r="K128" i="2"/>
  <c r="J128" i="2"/>
  <c r="D128" i="2"/>
  <c r="E128" i="2" s="1"/>
  <c r="H128" i="2" s="1"/>
  <c r="C128" i="2"/>
  <c r="O129" i="2"/>
  <c r="N129" i="2"/>
  <c r="K129" i="2"/>
  <c r="J129" i="2"/>
  <c r="D129" i="2"/>
  <c r="E129" i="2" s="1"/>
  <c r="H129" i="2" s="1"/>
  <c r="C129" i="2"/>
  <c r="O109" i="2"/>
  <c r="N109" i="2"/>
  <c r="K109" i="2"/>
  <c r="J109" i="2"/>
  <c r="D109" i="2"/>
  <c r="E109" i="2" s="1"/>
  <c r="C109" i="2"/>
  <c r="O110" i="2"/>
  <c r="N110" i="2"/>
  <c r="K110" i="2"/>
  <c r="J110" i="2"/>
  <c r="D110" i="2"/>
  <c r="E110" i="2" s="1"/>
  <c r="H110" i="2" s="1"/>
  <c r="C110" i="2"/>
  <c r="O111" i="2"/>
  <c r="N111" i="2"/>
  <c r="K111" i="2"/>
  <c r="J111" i="2"/>
  <c r="D111" i="2"/>
  <c r="E111" i="2" s="1"/>
  <c r="H111" i="2" s="1"/>
  <c r="C111" i="2"/>
  <c r="O112" i="2"/>
  <c r="N112" i="2"/>
  <c r="K112" i="2"/>
  <c r="J112" i="2"/>
  <c r="D112" i="2"/>
  <c r="E112" i="2" s="1"/>
  <c r="H112" i="2" s="1"/>
  <c r="C112" i="2"/>
  <c r="O113" i="2"/>
  <c r="N113" i="2"/>
  <c r="K113" i="2"/>
  <c r="J113" i="2"/>
  <c r="D113" i="2"/>
  <c r="E113" i="2" s="1"/>
  <c r="H113" i="2" s="1"/>
  <c r="C113" i="2"/>
  <c r="O114" i="2"/>
  <c r="N114" i="2"/>
  <c r="K114" i="2"/>
  <c r="J114" i="2"/>
  <c r="D114" i="2"/>
  <c r="E114" i="2" s="1"/>
  <c r="C114" i="2"/>
  <c r="O115" i="2"/>
  <c r="N115" i="2"/>
  <c r="K115" i="2"/>
  <c r="J115" i="2"/>
  <c r="D115" i="2"/>
  <c r="E115" i="2" s="1"/>
  <c r="F115" i="2" s="1"/>
  <c r="C115" i="2"/>
  <c r="O116" i="2"/>
  <c r="N116" i="2"/>
  <c r="K116" i="2"/>
  <c r="J116" i="2"/>
  <c r="D116" i="2"/>
  <c r="E116" i="2" s="1"/>
  <c r="G116" i="2" s="1"/>
  <c r="Q116" i="2" s="1"/>
  <c r="R116" i="2" s="1"/>
  <c r="C116" i="2"/>
  <c r="O88" i="2"/>
  <c r="P88" i="2" s="1"/>
  <c r="N88" i="2"/>
  <c r="K88" i="2"/>
  <c r="J88" i="2"/>
  <c r="D88" i="2"/>
  <c r="E88" i="2" s="1"/>
  <c r="C88" i="2"/>
  <c r="O77" i="2"/>
  <c r="N77" i="2"/>
  <c r="K77" i="2"/>
  <c r="J77" i="2"/>
  <c r="D77" i="2"/>
  <c r="E77" i="2" s="1"/>
  <c r="G77" i="2" s="1"/>
  <c r="Q77" i="2" s="1"/>
  <c r="R77" i="2" s="1"/>
  <c r="C77" i="2"/>
  <c r="O78" i="2"/>
  <c r="N78" i="2"/>
  <c r="K78" i="2"/>
  <c r="J78" i="2"/>
  <c r="D78" i="2"/>
  <c r="E78" i="2" s="1"/>
  <c r="H78" i="2" s="1"/>
  <c r="C78" i="2"/>
  <c r="O79" i="2"/>
  <c r="N79" i="2"/>
  <c r="K79" i="2"/>
  <c r="J79" i="2"/>
  <c r="D79" i="2"/>
  <c r="E79" i="2" s="1"/>
  <c r="C79" i="2"/>
  <c r="O80" i="2"/>
  <c r="N80" i="2"/>
  <c r="K80" i="2"/>
  <c r="J80" i="2"/>
  <c r="D80" i="2"/>
  <c r="E80" i="2" s="1"/>
  <c r="G80" i="2" s="1"/>
  <c r="Q80" i="2" s="1"/>
  <c r="R80" i="2" s="1"/>
  <c r="C80" i="2"/>
  <c r="O81" i="2"/>
  <c r="N81" i="2"/>
  <c r="K81" i="2"/>
  <c r="J81" i="2"/>
  <c r="D81" i="2"/>
  <c r="E81" i="2" s="1"/>
  <c r="F81" i="2" s="1"/>
  <c r="C81" i="2"/>
  <c r="O82" i="2"/>
  <c r="N82" i="2"/>
  <c r="K82" i="2"/>
  <c r="J82" i="2"/>
  <c r="D82" i="2"/>
  <c r="E82" i="2" s="1"/>
  <c r="F82" i="2" s="1"/>
  <c r="C82" i="2"/>
  <c r="P93" i="2"/>
  <c r="P142" i="2"/>
  <c r="O191" i="2"/>
  <c r="N191" i="2"/>
  <c r="P191" i="2" s="1"/>
  <c r="K191" i="2"/>
  <c r="J191" i="2"/>
  <c r="D191" i="2"/>
  <c r="E191" i="2" s="1"/>
  <c r="C191" i="2"/>
  <c r="O192" i="2"/>
  <c r="N192" i="2"/>
  <c r="K192" i="2"/>
  <c r="J192" i="2"/>
  <c r="D192" i="2"/>
  <c r="E192" i="2" s="1"/>
  <c r="F192" i="2" s="1"/>
  <c r="C192" i="2"/>
  <c r="O193" i="2"/>
  <c r="N193" i="2"/>
  <c r="K193" i="2"/>
  <c r="J193" i="2"/>
  <c r="D193" i="2"/>
  <c r="E193" i="2" s="1"/>
  <c r="C193" i="2"/>
  <c r="O180" i="2"/>
  <c r="N180" i="2"/>
  <c r="K180" i="2"/>
  <c r="J180" i="2"/>
  <c r="D180" i="2"/>
  <c r="E180" i="2" s="1"/>
  <c r="G180" i="2" s="1"/>
  <c r="Q180" i="2" s="1"/>
  <c r="R180" i="2" s="1"/>
  <c r="C180" i="2"/>
  <c r="O181" i="2"/>
  <c r="N181" i="2"/>
  <c r="K181" i="2"/>
  <c r="J181" i="2"/>
  <c r="D181" i="2"/>
  <c r="E181" i="2" s="1"/>
  <c r="G181" i="2" s="1"/>
  <c r="Q181" i="2" s="1"/>
  <c r="R181" i="2" s="1"/>
  <c r="C181" i="2"/>
  <c r="O182" i="2"/>
  <c r="N182" i="2"/>
  <c r="K182" i="2"/>
  <c r="J182" i="2"/>
  <c r="D182" i="2"/>
  <c r="E182" i="2" s="1"/>
  <c r="C182" i="2"/>
  <c r="O183" i="2"/>
  <c r="N183" i="2"/>
  <c r="P183" i="2" s="1"/>
  <c r="K183" i="2"/>
  <c r="J183" i="2"/>
  <c r="D183" i="2"/>
  <c r="E183" i="2" s="1"/>
  <c r="H183" i="2" s="1"/>
  <c r="C183" i="2"/>
  <c r="O163" i="2"/>
  <c r="N163" i="2"/>
  <c r="K163" i="2"/>
  <c r="J163" i="2"/>
  <c r="D163" i="2"/>
  <c r="E163" i="2" s="1"/>
  <c r="C163" i="2"/>
  <c r="O164" i="2"/>
  <c r="N164" i="2"/>
  <c r="K164" i="2"/>
  <c r="J164" i="2"/>
  <c r="D164" i="2"/>
  <c r="E164" i="2" s="1"/>
  <c r="G164" i="2" s="1"/>
  <c r="Q164" i="2" s="1"/>
  <c r="R164" i="2" s="1"/>
  <c r="C164" i="2"/>
  <c r="O165" i="2"/>
  <c r="N165" i="2"/>
  <c r="K165" i="2"/>
  <c r="J165" i="2"/>
  <c r="D165" i="2"/>
  <c r="E165" i="2" s="1"/>
  <c r="F165" i="2" s="1"/>
  <c r="C165" i="2"/>
  <c r="O148" i="2"/>
  <c r="N148" i="2"/>
  <c r="K148" i="2"/>
  <c r="J148" i="2"/>
  <c r="D148" i="2"/>
  <c r="E148" i="2" s="1"/>
  <c r="F148" i="2" s="1"/>
  <c r="C148" i="2"/>
  <c r="O149" i="2"/>
  <c r="N149" i="2"/>
  <c r="K149" i="2"/>
  <c r="J149" i="2"/>
  <c r="D149" i="2"/>
  <c r="E149" i="2" s="1"/>
  <c r="H149" i="2" s="1"/>
  <c r="C149" i="2"/>
  <c r="O150" i="2"/>
  <c r="N150" i="2"/>
  <c r="P150" i="2" s="1"/>
  <c r="K150" i="2"/>
  <c r="J150" i="2"/>
  <c r="D150" i="2"/>
  <c r="E150" i="2" s="1"/>
  <c r="H150" i="2" s="1"/>
  <c r="C150" i="2"/>
  <c r="O151" i="2"/>
  <c r="N151" i="2"/>
  <c r="K151" i="2"/>
  <c r="J151" i="2"/>
  <c r="D151" i="2"/>
  <c r="E151" i="2" s="1"/>
  <c r="C151" i="2"/>
  <c r="O130" i="2"/>
  <c r="N130" i="2"/>
  <c r="K130" i="2"/>
  <c r="J130" i="2"/>
  <c r="D130" i="2"/>
  <c r="E130" i="2" s="1"/>
  <c r="G130" i="2" s="1"/>
  <c r="Q130" i="2" s="1"/>
  <c r="R130" i="2" s="1"/>
  <c r="C130" i="2"/>
  <c r="O131" i="2"/>
  <c r="N131" i="2"/>
  <c r="K131" i="2"/>
  <c r="J131" i="2"/>
  <c r="D131" i="2"/>
  <c r="E131" i="2" s="1"/>
  <c r="C131" i="2"/>
  <c r="O132" i="2"/>
  <c r="N132" i="2"/>
  <c r="P132" i="2" s="1"/>
  <c r="K132" i="2"/>
  <c r="J132" i="2"/>
  <c r="D132" i="2"/>
  <c r="E132" i="2" s="1"/>
  <c r="C132" i="2"/>
  <c r="O133" i="2"/>
  <c r="N133" i="2"/>
  <c r="K133" i="2"/>
  <c r="J133" i="2"/>
  <c r="D133" i="2"/>
  <c r="E133" i="2" s="1"/>
  <c r="H133" i="2" s="1"/>
  <c r="C133" i="2"/>
  <c r="O117" i="2"/>
  <c r="N117" i="2"/>
  <c r="K117" i="2"/>
  <c r="J117" i="2"/>
  <c r="D117" i="2"/>
  <c r="E117" i="2" s="1"/>
  <c r="F117" i="2" s="1"/>
  <c r="C117" i="2"/>
  <c r="O118" i="2"/>
  <c r="N118" i="2"/>
  <c r="K118" i="2"/>
  <c r="J118" i="2"/>
  <c r="D118" i="2"/>
  <c r="E118" i="2" s="1"/>
  <c r="C118" i="2"/>
  <c r="O119" i="2"/>
  <c r="N119" i="2"/>
  <c r="P119" i="2" s="1"/>
  <c r="K119" i="2"/>
  <c r="J119" i="2"/>
  <c r="D119" i="2"/>
  <c r="E119" i="2" s="1"/>
  <c r="C119" i="2"/>
  <c r="O120" i="2"/>
  <c r="N120" i="2"/>
  <c r="K120" i="2"/>
  <c r="J120" i="2"/>
  <c r="D120" i="2"/>
  <c r="E120" i="2" s="1"/>
  <c r="H120" i="2" s="1"/>
  <c r="C120" i="2"/>
  <c r="O96" i="2"/>
  <c r="N96" i="2"/>
  <c r="K96" i="2"/>
  <c r="J96" i="2"/>
  <c r="D96" i="2"/>
  <c r="E96" i="2" s="1"/>
  <c r="G96" i="2" s="1"/>
  <c r="Q96" i="2" s="1"/>
  <c r="R96" i="2" s="1"/>
  <c r="C96" i="2"/>
  <c r="O97" i="2"/>
  <c r="N97" i="2"/>
  <c r="K97" i="2"/>
  <c r="J97" i="2"/>
  <c r="D97" i="2"/>
  <c r="E97" i="2" s="1"/>
  <c r="C97" i="2"/>
  <c r="O98" i="2"/>
  <c r="N98" i="2"/>
  <c r="K98" i="2"/>
  <c r="J98" i="2"/>
  <c r="D98" i="2"/>
  <c r="E98" i="2" s="1"/>
  <c r="C98" i="2"/>
  <c r="O83" i="2"/>
  <c r="N83" i="2"/>
  <c r="K83" i="2"/>
  <c r="J83" i="2"/>
  <c r="D83" i="2"/>
  <c r="E83" i="2" s="1"/>
  <c r="G83" i="2" s="1"/>
  <c r="Q83" i="2" s="1"/>
  <c r="R83" i="2" s="1"/>
  <c r="C83" i="2"/>
  <c r="O84" i="2"/>
  <c r="N84" i="2"/>
  <c r="K84" i="2"/>
  <c r="J84" i="2"/>
  <c r="D84" i="2"/>
  <c r="E84" i="2" s="1"/>
  <c r="C84" i="2"/>
  <c r="O85" i="2"/>
  <c r="N85" i="2"/>
  <c r="K85" i="2"/>
  <c r="J85" i="2"/>
  <c r="D85" i="2"/>
  <c r="E85" i="2" s="1"/>
  <c r="C85" i="2"/>
  <c r="O86" i="2"/>
  <c r="N86" i="2"/>
  <c r="K86" i="2"/>
  <c r="J86" i="2"/>
  <c r="D86" i="2"/>
  <c r="E86" i="2" s="1"/>
  <c r="G86" i="2" s="1"/>
  <c r="Q86" i="2" s="1"/>
  <c r="R86" i="2" s="1"/>
  <c r="C86" i="2"/>
  <c r="O87" i="2"/>
  <c r="N87" i="2"/>
  <c r="K87" i="2"/>
  <c r="J87" i="2"/>
  <c r="D87" i="2"/>
  <c r="E87" i="2" s="1"/>
  <c r="C87" i="2"/>
  <c r="O38" i="2"/>
  <c r="N38" i="2"/>
  <c r="K38" i="2"/>
  <c r="J38" i="2"/>
  <c r="D38" i="2"/>
  <c r="E38" i="2" s="1"/>
  <c r="G38" i="2" s="1"/>
  <c r="Q38" i="2" s="1"/>
  <c r="R38" i="2" s="1"/>
  <c r="C38" i="2"/>
  <c r="O41" i="2"/>
  <c r="N41" i="2"/>
  <c r="K41" i="2"/>
  <c r="J41" i="2"/>
  <c r="D41" i="2"/>
  <c r="E41" i="2" s="1"/>
  <c r="H41" i="2" s="1"/>
  <c r="C41" i="2"/>
  <c r="O42" i="2"/>
  <c r="N42" i="2"/>
  <c r="K42" i="2"/>
  <c r="J42" i="2"/>
  <c r="D42" i="2"/>
  <c r="E42" i="2" s="1"/>
  <c r="C42" i="2"/>
  <c r="O43" i="2"/>
  <c r="N43" i="2"/>
  <c r="K43" i="2"/>
  <c r="J43" i="2"/>
  <c r="D43" i="2"/>
  <c r="E43" i="2" s="1"/>
  <c r="H43" i="2" s="1"/>
  <c r="C43" i="2"/>
  <c r="O44" i="2"/>
  <c r="N44" i="2"/>
  <c r="K44" i="2"/>
  <c r="J44" i="2"/>
  <c r="D44" i="2"/>
  <c r="E44" i="2" s="1"/>
  <c r="H44" i="2" s="1"/>
  <c r="C44" i="2"/>
  <c r="O45" i="2"/>
  <c r="N45" i="2"/>
  <c r="K45" i="2"/>
  <c r="J45" i="2"/>
  <c r="D45" i="2"/>
  <c r="E45" i="2" s="1"/>
  <c r="F45" i="2" s="1"/>
  <c r="C45" i="2"/>
  <c r="O21" i="2"/>
  <c r="N21" i="2"/>
  <c r="K21" i="2"/>
  <c r="J21" i="2"/>
  <c r="D21" i="2"/>
  <c r="E21" i="2" s="1"/>
  <c r="C21" i="2"/>
  <c r="O22" i="2"/>
  <c r="P22" i="2" s="1"/>
  <c r="N22" i="2"/>
  <c r="K22" i="2"/>
  <c r="J22" i="2"/>
  <c r="D22" i="2"/>
  <c r="E22" i="2" s="1"/>
  <c r="G22" i="2" s="1"/>
  <c r="Q22" i="2" s="1"/>
  <c r="R22" i="2" s="1"/>
  <c r="C22" i="2"/>
  <c r="O23" i="2"/>
  <c r="N23" i="2"/>
  <c r="K23" i="2"/>
  <c r="J23" i="2"/>
  <c r="D23" i="2"/>
  <c r="E23" i="2" s="1"/>
  <c r="G23" i="2" s="1"/>
  <c r="Q23" i="2" s="1"/>
  <c r="R23" i="2" s="1"/>
  <c r="C23" i="2"/>
  <c r="O24" i="2"/>
  <c r="N24" i="2"/>
  <c r="K24" i="2"/>
  <c r="J24" i="2"/>
  <c r="D24" i="2"/>
  <c r="E24" i="2" s="1"/>
  <c r="F24" i="2" s="1"/>
  <c r="C24" i="2"/>
  <c r="O25" i="2"/>
  <c r="N25" i="2"/>
  <c r="K25" i="2"/>
  <c r="J25" i="2"/>
  <c r="D25" i="2"/>
  <c r="E25" i="2" s="1"/>
  <c r="C25" i="2"/>
  <c r="O26" i="2"/>
  <c r="P26" i="2" s="1"/>
  <c r="N26" i="2"/>
  <c r="K26" i="2"/>
  <c r="J26" i="2"/>
  <c r="D26" i="2"/>
  <c r="E26" i="2" s="1"/>
  <c r="C26" i="2"/>
  <c r="O46" i="2"/>
  <c r="N46" i="2"/>
  <c r="K46" i="2"/>
  <c r="J46" i="2"/>
  <c r="D46" i="2"/>
  <c r="E46" i="2" s="1"/>
  <c r="C46" i="2"/>
  <c r="O47" i="2"/>
  <c r="N47" i="2"/>
  <c r="K47" i="2"/>
  <c r="J47" i="2"/>
  <c r="D47" i="2"/>
  <c r="E47" i="2" s="1"/>
  <c r="F47" i="2" s="1"/>
  <c r="C47" i="2"/>
  <c r="O48" i="2"/>
  <c r="N48" i="2"/>
  <c r="K48" i="2"/>
  <c r="J48" i="2"/>
  <c r="D48" i="2"/>
  <c r="E48" i="2" s="1"/>
  <c r="C48" i="2"/>
  <c r="O49" i="2"/>
  <c r="P49" i="2" s="1"/>
  <c r="N49" i="2"/>
  <c r="K49" i="2"/>
  <c r="J49" i="2"/>
  <c r="D49" i="2"/>
  <c r="E49" i="2" s="1"/>
  <c r="H49" i="2" s="1"/>
  <c r="C49" i="2"/>
  <c r="O51" i="2"/>
  <c r="N51" i="2"/>
  <c r="K51" i="2"/>
  <c r="J51" i="2"/>
  <c r="D51" i="2"/>
  <c r="E51" i="2" s="1"/>
  <c r="C51" i="2"/>
  <c r="O27" i="2"/>
  <c r="N27" i="2"/>
  <c r="K27" i="2"/>
  <c r="J27" i="2"/>
  <c r="D27" i="2"/>
  <c r="E27" i="2" s="1"/>
  <c r="F27" i="2" s="1"/>
  <c r="C27" i="2"/>
  <c r="O28" i="2"/>
  <c r="N28" i="2"/>
  <c r="K28" i="2"/>
  <c r="J28" i="2"/>
  <c r="D28" i="2"/>
  <c r="E28" i="2" s="1"/>
  <c r="C28" i="2"/>
  <c r="O29" i="2"/>
  <c r="P29" i="2" s="1"/>
  <c r="N29" i="2"/>
  <c r="K29" i="2"/>
  <c r="J29" i="2"/>
  <c r="D29" i="2"/>
  <c r="E29" i="2" s="1"/>
  <c r="G29" i="2" s="1"/>
  <c r="Q29" i="2" s="1"/>
  <c r="R29" i="2" s="1"/>
  <c r="C29" i="2"/>
  <c r="O30" i="2"/>
  <c r="N30" i="2"/>
  <c r="K30" i="2"/>
  <c r="J30" i="2"/>
  <c r="D30" i="2"/>
  <c r="E30" i="2" s="1"/>
  <c r="H30" i="2" s="1"/>
  <c r="C30" i="2"/>
  <c r="O31" i="2"/>
  <c r="N31" i="2"/>
  <c r="K31" i="2"/>
  <c r="J31" i="2"/>
  <c r="D31" i="2"/>
  <c r="E31" i="2" s="1"/>
  <c r="C31" i="2"/>
  <c r="O32" i="2"/>
  <c r="N32" i="2"/>
  <c r="K32" i="2"/>
  <c r="J32" i="2"/>
  <c r="D32" i="2"/>
  <c r="E32" i="2" s="1"/>
  <c r="C32" i="2"/>
  <c r="O52" i="2"/>
  <c r="P52" i="2" s="1"/>
  <c r="N52" i="2"/>
  <c r="K52" i="2"/>
  <c r="J52" i="2"/>
  <c r="D52" i="2"/>
  <c r="E52" i="2" s="1"/>
  <c r="C52" i="2"/>
  <c r="O53" i="2"/>
  <c r="N53" i="2"/>
  <c r="K53" i="2"/>
  <c r="J53" i="2"/>
  <c r="D53" i="2"/>
  <c r="E53" i="2" s="1"/>
  <c r="F53" i="2" s="1"/>
  <c r="C53" i="2"/>
  <c r="O54" i="2"/>
  <c r="N54" i="2"/>
  <c r="K54" i="2"/>
  <c r="J54" i="2"/>
  <c r="D54" i="2"/>
  <c r="E54" i="2" s="1"/>
  <c r="C54" i="2"/>
  <c r="O70" i="2"/>
  <c r="N70" i="2"/>
  <c r="K70" i="2"/>
  <c r="J70" i="2"/>
  <c r="D70" i="2"/>
  <c r="E70" i="2" s="1"/>
  <c r="C70" i="2"/>
  <c r="O33" i="2"/>
  <c r="N33" i="2"/>
  <c r="K33" i="2"/>
  <c r="J33" i="2"/>
  <c r="D33" i="2"/>
  <c r="E33" i="2" s="1"/>
  <c r="G33" i="2" s="1"/>
  <c r="Q33" i="2" s="1"/>
  <c r="R33" i="2" s="1"/>
  <c r="C33" i="2"/>
  <c r="O34" i="2"/>
  <c r="N34" i="2"/>
  <c r="K34" i="2"/>
  <c r="J34" i="2"/>
  <c r="D34" i="2"/>
  <c r="E34" i="2" s="1"/>
  <c r="H34" i="2" s="1"/>
  <c r="C34" i="2"/>
  <c r="O35" i="2"/>
  <c r="N35" i="2"/>
  <c r="K35" i="2"/>
  <c r="J35" i="2"/>
  <c r="D35" i="2"/>
  <c r="E35" i="2" s="1"/>
  <c r="H35" i="2" s="1"/>
  <c r="C35" i="2"/>
  <c r="O36" i="2"/>
  <c r="N36" i="2"/>
  <c r="K36" i="2"/>
  <c r="J36" i="2"/>
  <c r="D36" i="2"/>
  <c r="E36" i="2" s="1"/>
  <c r="C36" i="2"/>
  <c r="O37" i="2"/>
  <c r="P37" i="2" s="1"/>
  <c r="N37" i="2"/>
  <c r="K37" i="2"/>
  <c r="J37" i="2"/>
  <c r="D37" i="2"/>
  <c r="E37" i="2" s="1"/>
  <c r="C37" i="2"/>
  <c r="O6" i="2"/>
  <c r="N6" i="2"/>
  <c r="K6" i="2"/>
  <c r="J6" i="2"/>
  <c r="D6" i="2"/>
  <c r="E6" i="2" s="1"/>
  <c r="G6" i="2" s="1"/>
  <c r="Q6" i="2" s="1"/>
  <c r="R6" i="2" s="1"/>
  <c r="C6" i="2"/>
  <c r="O7" i="2"/>
  <c r="N7" i="2"/>
  <c r="K7" i="2"/>
  <c r="J7" i="2"/>
  <c r="D7" i="2"/>
  <c r="C7" i="2"/>
  <c r="O8" i="2"/>
  <c r="N8" i="2"/>
  <c r="K8" i="2"/>
  <c r="J8" i="2"/>
  <c r="D8" i="2"/>
  <c r="E8" i="2" s="1"/>
  <c r="C8" i="2"/>
  <c r="O9" i="2"/>
  <c r="N9" i="2"/>
  <c r="K9" i="2"/>
  <c r="J9" i="2"/>
  <c r="D9" i="2"/>
  <c r="E9" i="2" s="1"/>
  <c r="H9" i="2" s="1"/>
  <c r="C9" i="2"/>
  <c r="O10" i="2"/>
  <c r="N10" i="2"/>
  <c r="K10" i="2"/>
  <c r="J10" i="2"/>
  <c r="D10" i="2"/>
  <c r="E10" i="2" s="1"/>
  <c r="G10" i="2" s="1"/>
  <c r="Q10" i="2" s="1"/>
  <c r="R10" i="2" s="1"/>
  <c r="C10" i="2"/>
  <c r="O11" i="2"/>
  <c r="N11" i="2"/>
  <c r="K11" i="2"/>
  <c r="J11" i="2"/>
  <c r="D11" i="2"/>
  <c r="E11" i="2" s="1"/>
  <c r="C11" i="2"/>
  <c r="O12" i="2"/>
  <c r="N12" i="2"/>
  <c r="K12" i="2"/>
  <c r="J12" i="2"/>
  <c r="D12" i="2"/>
  <c r="E12" i="2" s="1"/>
  <c r="C12" i="2"/>
  <c r="O13" i="2"/>
  <c r="N13" i="2"/>
  <c r="K13" i="2"/>
  <c r="J13" i="2"/>
  <c r="D13" i="2"/>
  <c r="E13" i="2" s="1"/>
  <c r="C13" i="2"/>
  <c r="O14" i="2"/>
  <c r="N14" i="2"/>
  <c r="K14" i="2"/>
  <c r="J14" i="2"/>
  <c r="D14" i="2"/>
  <c r="E14" i="2" s="1"/>
  <c r="C14" i="2"/>
  <c r="O15" i="2"/>
  <c r="N15" i="2"/>
  <c r="K15" i="2"/>
  <c r="J15" i="2"/>
  <c r="D15" i="2"/>
  <c r="E15" i="2" s="1"/>
  <c r="F15" i="2" s="1"/>
  <c r="C15" i="2"/>
  <c r="O16" i="2"/>
  <c r="N16" i="2"/>
  <c r="K16" i="2"/>
  <c r="J16" i="2"/>
  <c r="D16" i="2"/>
  <c r="E16" i="2" s="1"/>
  <c r="H16" i="2" s="1"/>
  <c r="C16" i="2"/>
  <c r="O17" i="2"/>
  <c r="N17" i="2"/>
  <c r="K17" i="2"/>
  <c r="J17" i="2"/>
  <c r="D17" i="2"/>
  <c r="E17" i="2" s="1"/>
  <c r="C17" i="2"/>
  <c r="O18" i="2"/>
  <c r="N18" i="2"/>
  <c r="K18" i="2"/>
  <c r="J18" i="2"/>
  <c r="D18" i="2"/>
  <c r="E18" i="2" s="1"/>
  <c r="C18" i="2"/>
  <c r="O19" i="2"/>
  <c r="N19" i="2"/>
  <c r="K19" i="2"/>
  <c r="J19" i="2"/>
  <c r="D19" i="2"/>
  <c r="E19" i="2" s="1"/>
  <c r="C19" i="2"/>
  <c r="O20" i="2"/>
  <c r="N20" i="2"/>
  <c r="K20" i="2"/>
  <c r="J20" i="2"/>
  <c r="D20" i="2"/>
  <c r="E20" i="2" s="1"/>
  <c r="G20" i="2" s="1"/>
  <c r="Q20" i="2" s="1"/>
  <c r="R20" i="2" s="1"/>
  <c r="C20" i="2"/>
  <c r="C373" i="2"/>
  <c r="E23" i="9"/>
  <c r="F23" i="9" s="1"/>
  <c r="E24" i="9"/>
  <c r="F24" i="9"/>
  <c r="E28" i="9"/>
  <c r="F28" i="9" s="1"/>
  <c r="E12" i="9"/>
  <c r="F12" i="9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11" i="25"/>
  <c r="O302" i="2"/>
  <c r="N302" i="2"/>
  <c r="K302" i="2"/>
  <c r="D302" i="2"/>
  <c r="E302" i="2" s="1"/>
  <c r="C302" i="2"/>
  <c r="O303" i="2"/>
  <c r="N303" i="2"/>
  <c r="K303" i="2"/>
  <c r="J303" i="2"/>
  <c r="D303" i="2"/>
  <c r="E303" i="2" s="1"/>
  <c r="C303" i="2"/>
  <c r="O304" i="2"/>
  <c r="P304" i="2" s="1"/>
  <c r="N304" i="2"/>
  <c r="K304" i="2"/>
  <c r="J304" i="2"/>
  <c r="D304" i="2"/>
  <c r="E304" i="2" s="1"/>
  <c r="G304" i="2" s="1"/>
  <c r="Q304" i="2" s="1"/>
  <c r="R304" i="2" s="1"/>
  <c r="C304" i="2"/>
  <c r="O305" i="2"/>
  <c r="N305" i="2"/>
  <c r="K305" i="2"/>
  <c r="J305" i="2"/>
  <c r="D305" i="2"/>
  <c r="E305" i="2" s="1"/>
  <c r="H305" i="2" s="1"/>
  <c r="C305" i="2"/>
  <c r="O306" i="2"/>
  <c r="N306" i="2"/>
  <c r="K306" i="2"/>
  <c r="J306" i="2"/>
  <c r="D306" i="2"/>
  <c r="E306" i="2" s="1"/>
  <c r="C306" i="2"/>
  <c r="O307" i="2"/>
  <c r="N307" i="2"/>
  <c r="K307" i="2"/>
  <c r="J307" i="2"/>
  <c r="D307" i="2"/>
  <c r="E307" i="2" s="1"/>
  <c r="G307" i="2" s="1"/>
  <c r="Q307" i="2" s="1"/>
  <c r="R307" i="2" s="1"/>
  <c r="C307" i="2"/>
  <c r="O308" i="2"/>
  <c r="N308" i="2"/>
  <c r="K308" i="2"/>
  <c r="J308" i="2"/>
  <c r="D308" i="2"/>
  <c r="E308" i="2" s="1"/>
  <c r="C308" i="2"/>
  <c r="O309" i="2"/>
  <c r="N309" i="2"/>
  <c r="K309" i="2"/>
  <c r="J309" i="2"/>
  <c r="D309" i="2"/>
  <c r="E309" i="2" s="1"/>
  <c r="G309" i="2" s="1"/>
  <c r="Q309" i="2" s="1"/>
  <c r="R309" i="2" s="1"/>
  <c r="C309" i="2"/>
  <c r="O310" i="2"/>
  <c r="N310" i="2"/>
  <c r="K310" i="2"/>
  <c r="J310" i="2"/>
  <c r="D310" i="2"/>
  <c r="E310" i="2" s="1"/>
  <c r="H310" i="2" s="1"/>
  <c r="C310" i="2"/>
  <c r="O311" i="2"/>
  <c r="N311" i="2"/>
  <c r="K311" i="2"/>
  <c r="J311" i="2"/>
  <c r="D311" i="2"/>
  <c r="E311" i="2" s="1"/>
  <c r="G311" i="2" s="1"/>
  <c r="Q311" i="2" s="1"/>
  <c r="R311" i="2" s="1"/>
  <c r="C311" i="2"/>
  <c r="O312" i="2"/>
  <c r="N312" i="2"/>
  <c r="K312" i="2"/>
  <c r="J312" i="2"/>
  <c r="D312" i="2"/>
  <c r="E312" i="2" s="1"/>
  <c r="G312" i="2" s="1"/>
  <c r="Q312" i="2" s="1"/>
  <c r="R312" i="2" s="1"/>
  <c r="C312" i="2"/>
  <c r="O313" i="2"/>
  <c r="N313" i="2"/>
  <c r="K313" i="2"/>
  <c r="J313" i="2"/>
  <c r="D313" i="2"/>
  <c r="E313" i="2" s="1"/>
  <c r="H313" i="2" s="1"/>
  <c r="C313" i="2"/>
  <c r="O314" i="2"/>
  <c r="N314" i="2"/>
  <c r="K314" i="2"/>
  <c r="J314" i="2"/>
  <c r="D314" i="2"/>
  <c r="E314" i="2" s="1"/>
  <c r="C314" i="2"/>
  <c r="O315" i="2"/>
  <c r="N315" i="2"/>
  <c r="K315" i="2"/>
  <c r="J315" i="2"/>
  <c r="D315" i="2"/>
  <c r="E315" i="2" s="1"/>
  <c r="H315" i="2" s="1"/>
  <c r="C315" i="2"/>
  <c r="O316" i="2"/>
  <c r="N316" i="2"/>
  <c r="K316" i="2"/>
  <c r="J316" i="2"/>
  <c r="D316" i="2"/>
  <c r="E316" i="2" s="1"/>
  <c r="C316" i="2"/>
  <c r="O317" i="2"/>
  <c r="N317" i="2"/>
  <c r="K317" i="2"/>
  <c r="J317" i="2"/>
  <c r="D317" i="2"/>
  <c r="E317" i="2" s="1"/>
  <c r="G317" i="2" s="1"/>
  <c r="Q317" i="2" s="1"/>
  <c r="R317" i="2" s="1"/>
  <c r="C317" i="2"/>
  <c r="O318" i="2"/>
  <c r="N318" i="2"/>
  <c r="K318" i="2"/>
  <c r="J318" i="2"/>
  <c r="D318" i="2"/>
  <c r="E318" i="2" s="1"/>
  <c r="C318" i="2"/>
  <c r="O319" i="2"/>
  <c r="N319" i="2"/>
  <c r="K319" i="2"/>
  <c r="J319" i="2"/>
  <c r="D319" i="2"/>
  <c r="E319" i="2" s="1"/>
  <c r="H319" i="2" s="1"/>
  <c r="C319" i="2"/>
  <c r="O320" i="2"/>
  <c r="N320" i="2"/>
  <c r="K320" i="2"/>
  <c r="J320" i="2"/>
  <c r="D320" i="2"/>
  <c r="E320" i="2" s="1"/>
  <c r="H320" i="2" s="1"/>
  <c r="C320" i="2"/>
  <c r="O321" i="2"/>
  <c r="N321" i="2"/>
  <c r="K321" i="2"/>
  <c r="J321" i="2"/>
  <c r="D321" i="2"/>
  <c r="E321" i="2" s="1"/>
  <c r="H321" i="2" s="1"/>
  <c r="C321" i="2"/>
  <c r="O322" i="2"/>
  <c r="N322" i="2"/>
  <c r="K322" i="2"/>
  <c r="J322" i="2"/>
  <c r="D322" i="2"/>
  <c r="E322" i="2" s="1"/>
  <c r="H322" i="2" s="1"/>
  <c r="C322" i="2"/>
  <c r="O323" i="2"/>
  <c r="N323" i="2"/>
  <c r="K323" i="2"/>
  <c r="J323" i="2"/>
  <c r="D323" i="2"/>
  <c r="E323" i="2" s="1"/>
  <c r="C323" i="2"/>
  <c r="O324" i="2"/>
  <c r="N324" i="2"/>
  <c r="K324" i="2"/>
  <c r="J324" i="2"/>
  <c r="D324" i="2"/>
  <c r="E324" i="2" s="1"/>
  <c r="C324" i="2"/>
  <c r="O325" i="2"/>
  <c r="N325" i="2"/>
  <c r="K325" i="2"/>
  <c r="J325" i="2"/>
  <c r="D325" i="2"/>
  <c r="E325" i="2" s="1"/>
  <c r="C325" i="2"/>
  <c r="O326" i="2"/>
  <c r="N326" i="2"/>
  <c r="K326" i="2"/>
  <c r="J326" i="2"/>
  <c r="D326" i="2"/>
  <c r="E326" i="2" s="1"/>
  <c r="G326" i="2" s="1"/>
  <c r="Q326" i="2" s="1"/>
  <c r="R326" i="2" s="1"/>
  <c r="C326" i="2"/>
  <c r="O327" i="2"/>
  <c r="N327" i="2"/>
  <c r="K327" i="2"/>
  <c r="J327" i="2"/>
  <c r="D327" i="2"/>
  <c r="E327" i="2" s="1"/>
  <c r="C327" i="2"/>
  <c r="O328" i="2"/>
  <c r="P328" i="2" s="1"/>
  <c r="N328" i="2"/>
  <c r="K328" i="2"/>
  <c r="J328" i="2"/>
  <c r="D328" i="2"/>
  <c r="E328" i="2" s="1"/>
  <c r="C328" i="2"/>
  <c r="O329" i="2"/>
  <c r="N329" i="2"/>
  <c r="K329" i="2"/>
  <c r="J329" i="2"/>
  <c r="D329" i="2"/>
  <c r="E329" i="2" s="1"/>
  <c r="G329" i="2" s="1"/>
  <c r="Q329" i="2" s="1"/>
  <c r="R329" i="2" s="1"/>
  <c r="C329" i="2"/>
  <c r="O330" i="2"/>
  <c r="N330" i="2"/>
  <c r="K330" i="2"/>
  <c r="J330" i="2"/>
  <c r="D330" i="2"/>
  <c r="E330" i="2" s="1"/>
  <c r="C330" i="2"/>
  <c r="O331" i="2"/>
  <c r="N331" i="2"/>
  <c r="K331" i="2"/>
  <c r="J331" i="2"/>
  <c r="D331" i="2"/>
  <c r="E331" i="2" s="1"/>
  <c r="G331" i="2" s="1"/>
  <c r="Q331" i="2" s="1"/>
  <c r="R331" i="2" s="1"/>
  <c r="C331" i="2"/>
  <c r="O332" i="2"/>
  <c r="N332" i="2"/>
  <c r="K332" i="2"/>
  <c r="J332" i="2"/>
  <c r="D332" i="2"/>
  <c r="E332" i="2" s="1"/>
  <c r="C332" i="2"/>
  <c r="O333" i="2"/>
  <c r="N333" i="2"/>
  <c r="K333" i="2"/>
  <c r="J333" i="2"/>
  <c r="D333" i="2"/>
  <c r="E333" i="2" s="1"/>
  <c r="G333" i="2" s="1"/>
  <c r="Q333" i="2" s="1"/>
  <c r="R333" i="2" s="1"/>
  <c r="C333" i="2"/>
  <c r="O334" i="2"/>
  <c r="N334" i="2"/>
  <c r="K334" i="2"/>
  <c r="J334" i="2"/>
  <c r="D334" i="2"/>
  <c r="E334" i="2" s="1"/>
  <c r="C334" i="2"/>
  <c r="O335" i="2"/>
  <c r="N335" i="2"/>
  <c r="K335" i="2"/>
  <c r="J335" i="2"/>
  <c r="D335" i="2"/>
  <c r="E335" i="2" s="1"/>
  <c r="C335" i="2"/>
  <c r="O336" i="2"/>
  <c r="N336" i="2"/>
  <c r="K336" i="2"/>
  <c r="J336" i="2"/>
  <c r="D336" i="2"/>
  <c r="E336" i="2" s="1"/>
  <c r="C336" i="2"/>
  <c r="O337" i="2"/>
  <c r="N337" i="2"/>
  <c r="K337" i="2"/>
  <c r="J337" i="2"/>
  <c r="D337" i="2"/>
  <c r="E337" i="2" s="1"/>
  <c r="C337" i="2"/>
  <c r="O338" i="2"/>
  <c r="N338" i="2"/>
  <c r="K338" i="2"/>
  <c r="J338" i="2"/>
  <c r="D338" i="2"/>
  <c r="E338" i="2" s="1"/>
  <c r="C338" i="2"/>
  <c r="O339" i="2"/>
  <c r="N339" i="2"/>
  <c r="K339" i="2"/>
  <c r="J339" i="2"/>
  <c r="D339" i="2"/>
  <c r="E339" i="2" s="1"/>
  <c r="H339" i="2" s="1"/>
  <c r="C339" i="2"/>
  <c r="O340" i="2"/>
  <c r="N340" i="2"/>
  <c r="K340" i="2"/>
  <c r="J340" i="2"/>
  <c r="D340" i="2"/>
  <c r="E340" i="2" s="1"/>
  <c r="F340" i="2" s="1"/>
  <c r="C340" i="2"/>
  <c r="O341" i="2"/>
  <c r="N341" i="2"/>
  <c r="K341" i="2"/>
  <c r="J341" i="2"/>
  <c r="D341" i="2"/>
  <c r="E341" i="2" s="1"/>
  <c r="F341" i="2" s="1"/>
  <c r="C341" i="2"/>
  <c r="O342" i="2"/>
  <c r="N342" i="2"/>
  <c r="K342" i="2"/>
  <c r="J342" i="2"/>
  <c r="D342" i="2"/>
  <c r="E342" i="2" s="1"/>
  <c r="C342" i="2"/>
  <c r="O343" i="2"/>
  <c r="N343" i="2"/>
  <c r="K343" i="2"/>
  <c r="J343" i="2"/>
  <c r="D343" i="2"/>
  <c r="E343" i="2" s="1"/>
  <c r="F343" i="2" s="1"/>
  <c r="C343" i="2"/>
  <c r="O344" i="2"/>
  <c r="N344" i="2"/>
  <c r="K344" i="2"/>
  <c r="J344" i="2"/>
  <c r="D344" i="2"/>
  <c r="E344" i="2" s="1"/>
  <c r="C344" i="2"/>
  <c r="O345" i="2"/>
  <c r="N345" i="2"/>
  <c r="K345" i="2"/>
  <c r="J345" i="2"/>
  <c r="D345" i="2"/>
  <c r="E345" i="2" s="1"/>
  <c r="H345" i="2" s="1"/>
  <c r="C345" i="2"/>
  <c r="O346" i="2"/>
  <c r="N346" i="2"/>
  <c r="K346" i="2"/>
  <c r="J346" i="2"/>
  <c r="D346" i="2"/>
  <c r="E346" i="2" s="1"/>
  <c r="C346" i="2"/>
  <c r="O347" i="2"/>
  <c r="N347" i="2"/>
  <c r="K347" i="2"/>
  <c r="J347" i="2"/>
  <c r="D347" i="2"/>
  <c r="E347" i="2" s="1"/>
  <c r="C347" i="2"/>
  <c r="O348" i="2"/>
  <c r="N348" i="2"/>
  <c r="K348" i="2"/>
  <c r="J348" i="2"/>
  <c r="D348" i="2"/>
  <c r="E348" i="2" s="1"/>
  <c r="H348" i="2" s="1"/>
  <c r="C348" i="2"/>
  <c r="O349" i="2"/>
  <c r="N349" i="2"/>
  <c r="K349" i="2"/>
  <c r="J349" i="2"/>
  <c r="D349" i="2"/>
  <c r="E349" i="2" s="1"/>
  <c r="G349" i="2" s="1"/>
  <c r="Q349" i="2" s="1"/>
  <c r="R349" i="2" s="1"/>
  <c r="C349" i="2"/>
  <c r="O350" i="2"/>
  <c r="N350" i="2"/>
  <c r="K350" i="2"/>
  <c r="J350" i="2"/>
  <c r="D350" i="2"/>
  <c r="E350" i="2" s="1"/>
  <c r="F350" i="2" s="1"/>
  <c r="C350" i="2"/>
  <c r="O351" i="2"/>
  <c r="N351" i="2"/>
  <c r="K351" i="2"/>
  <c r="J351" i="2"/>
  <c r="D351" i="2"/>
  <c r="E351" i="2" s="1"/>
  <c r="G351" i="2" s="1"/>
  <c r="Q351" i="2" s="1"/>
  <c r="R351" i="2" s="1"/>
  <c r="C351" i="2"/>
  <c r="O352" i="2"/>
  <c r="N352" i="2"/>
  <c r="K352" i="2"/>
  <c r="J352" i="2"/>
  <c r="D352" i="2"/>
  <c r="E352" i="2" s="1"/>
  <c r="F352" i="2" s="1"/>
  <c r="C352" i="2"/>
  <c r="O353" i="2"/>
  <c r="N353" i="2"/>
  <c r="K353" i="2"/>
  <c r="J353" i="2"/>
  <c r="D353" i="2"/>
  <c r="E353" i="2" s="1"/>
  <c r="F353" i="2" s="1"/>
  <c r="C353" i="2"/>
  <c r="O354" i="2"/>
  <c r="N354" i="2"/>
  <c r="K354" i="2"/>
  <c r="J354" i="2"/>
  <c r="D354" i="2"/>
  <c r="E354" i="2" s="1"/>
  <c r="C354" i="2"/>
  <c r="O355" i="2"/>
  <c r="N355" i="2"/>
  <c r="K355" i="2"/>
  <c r="J355" i="2"/>
  <c r="D355" i="2"/>
  <c r="E355" i="2" s="1"/>
  <c r="F355" i="2" s="1"/>
  <c r="C355" i="2"/>
  <c r="O356" i="2"/>
  <c r="N356" i="2"/>
  <c r="K356" i="2"/>
  <c r="J356" i="2"/>
  <c r="D356" i="2"/>
  <c r="E356" i="2" s="1"/>
  <c r="G356" i="2" s="1"/>
  <c r="Q356" i="2" s="1"/>
  <c r="R356" i="2" s="1"/>
  <c r="C356" i="2"/>
  <c r="O357" i="2"/>
  <c r="N357" i="2"/>
  <c r="K357" i="2"/>
  <c r="J357" i="2"/>
  <c r="D357" i="2"/>
  <c r="E357" i="2" s="1"/>
  <c r="C357" i="2"/>
  <c r="O358" i="2"/>
  <c r="N358" i="2"/>
  <c r="K358" i="2"/>
  <c r="J358" i="2"/>
  <c r="D358" i="2"/>
  <c r="E358" i="2" s="1"/>
  <c r="F358" i="2" s="1"/>
  <c r="C358" i="2"/>
  <c r="O359" i="2"/>
  <c r="N359" i="2"/>
  <c r="K359" i="2"/>
  <c r="J359" i="2"/>
  <c r="D359" i="2"/>
  <c r="E359" i="2" s="1"/>
  <c r="G359" i="2" s="1"/>
  <c r="Q359" i="2" s="1"/>
  <c r="R359" i="2" s="1"/>
  <c r="C359" i="2"/>
  <c r="O360" i="2"/>
  <c r="N360" i="2"/>
  <c r="K360" i="2"/>
  <c r="J360" i="2"/>
  <c r="D360" i="2"/>
  <c r="E360" i="2" s="1"/>
  <c r="H360" i="2" s="1"/>
  <c r="C360" i="2"/>
  <c r="O361" i="2"/>
  <c r="N361" i="2"/>
  <c r="K361" i="2"/>
  <c r="J361" i="2"/>
  <c r="D361" i="2"/>
  <c r="E361" i="2" s="1"/>
  <c r="C361" i="2"/>
  <c r="O362" i="2"/>
  <c r="N362" i="2"/>
  <c r="K362" i="2"/>
  <c r="J362" i="2"/>
  <c r="D362" i="2"/>
  <c r="E362" i="2" s="1"/>
  <c r="C362" i="2"/>
  <c r="O363" i="2"/>
  <c r="N363" i="2"/>
  <c r="K363" i="2"/>
  <c r="J363" i="2"/>
  <c r="D363" i="2"/>
  <c r="E363" i="2" s="1"/>
  <c r="C363" i="2"/>
  <c r="O364" i="2"/>
  <c r="N364" i="2"/>
  <c r="K364" i="2"/>
  <c r="J364" i="2"/>
  <c r="D364" i="2"/>
  <c r="E364" i="2" s="1"/>
  <c r="H364" i="2" s="1"/>
  <c r="C364" i="2"/>
  <c r="O365" i="2"/>
  <c r="N365" i="2"/>
  <c r="K365" i="2"/>
  <c r="J365" i="2"/>
  <c r="D365" i="2"/>
  <c r="E365" i="2" s="1"/>
  <c r="H365" i="2" s="1"/>
  <c r="C365" i="2"/>
  <c r="O366" i="2"/>
  <c r="N366" i="2"/>
  <c r="K366" i="2"/>
  <c r="J366" i="2"/>
  <c r="D366" i="2"/>
  <c r="E366" i="2" s="1"/>
  <c r="C366" i="2"/>
  <c r="Q386" i="2"/>
  <c r="R386" i="2" s="1"/>
  <c r="N373" i="2"/>
  <c r="O373" i="2"/>
  <c r="Q373" i="2"/>
  <c r="R373" i="2" s="1"/>
  <c r="C386" i="2"/>
  <c r="N386" i="2"/>
  <c r="O386" i="2"/>
  <c r="J386" i="2"/>
  <c r="K386" i="2"/>
  <c r="J373" i="2"/>
  <c r="K373" i="2"/>
  <c r="C462" i="2"/>
  <c r="D462" i="2"/>
  <c r="E462" i="2" s="1"/>
  <c r="H462" i="2" s="1"/>
  <c r="J462" i="2"/>
  <c r="K462" i="2"/>
  <c r="N462" i="2"/>
  <c r="O462" i="2"/>
  <c r="C414" i="2"/>
  <c r="O367" i="2"/>
  <c r="N367" i="2"/>
  <c r="K367" i="2"/>
  <c r="J367" i="2"/>
  <c r="D367" i="2"/>
  <c r="E367" i="2" s="1"/>
  <c r="H367" i="2" s="1"/>
  <c r="C367" i="2"/>
  <c r="O368" i="2"/>
  <c r="N368" i="2"/>
  <c r="K368" i="2"/>
  <c r="J368" i="2"/>
  <c r="D368" i="2"/>
  <c r="E368" i="2" s="1"/>
  <c r="G368" i="2" s="1"/>
  <c r="Q368" i="2" s="1"/>
  <c r="R368" i="2" s="1"/>
  <c r="C368" i="2"/>
  <c r="O369" i="2"/>
  <c r="N369" i="2"/>
  <c r="K369" i="2"/>
  <c r="J369" i="2"/>
  <c r="D369" i="2"/>
  <c r="E369" i="2" s="1"/>
  <c r="G369" i="2" s="1"/>
  <c r="Q369" i="2" s="1"/>
  <c r="R369" i="2" s="1"/>
  <c r="C369" i="2"/>
  <c r="O370" i="2"/>
  <c r="N370" i="2"/>
  <c r="K370" i="2"/>
  <c r="J370" i="2"/>
  <c r="D370" i="2"/>
  <c r="E370" i="2" s="1"/>
  <c r="C370" i="2"/>
  <c r="O371" i="2"/>
  <c r="N371" i="2"/>
  <c r="K371" i="2"/>
  <c r="J371" i="2"/>
  <c r="D371" i="2"/>
  <c r="E371" i="2" s="1"/>
  <c r="C371" i="2"/>
  <c r="O372" i="2"/>
  <c r="N372" i="2"/>
  <c r="K372" i="2"/>
  <c r="J372" i="2"/>
  <c r="D372" i="2"/>
  <c r="E372" i="2" s="1"/>
  <c r="C372" i="2"/>
  <c r="O374" i="2"/>
  <c r="N374" i="2"/>
  <c r="K374" i="2"/>
  <c r="J374" i="2"/>
  <c r="D374" i="2"/>
  <c r="E374" i="2" s="1"/>
  <c r="H374" i="2" s="1"/>
  <c r="C374" i="2"/>
  <c r="O375" i="2"/>
  <c r="N375" i="2"/>
  <c r="K375" i="2"/>
  <c r="J375" i="2"/>
  <c r="D375" i="2"/>
  <c r="E375" i="2" s="1"/>
  <c r="G375" i="2" s="1"/>
  <c r="Q375" i="2" s="1"/>
  <c r="R375" i="2" s="1"/>
  <c r="C375" i="2"/>
  <c r="O376" i="2"/>
  <c r="N376" i="2"/>
  <c r="K376" i="2"/>
  <c r="J376" i="2"/>
  <c r="D376" i="2"/>
  <c r="E376" i="2" s="1"/>
  <c r="C376" i="2"/>
  <c r="O377" i="2"/>
  <c r="N377" i="2"/>
  <c r="K377" i="2"/>
  <c r="J377" i="2"/>
  <c r="D377" i="2"/>
  <c r="E377" i="2" s="1"/>
  <c r="H377" i="2" s="1"/>
  <c r="C377" i="2"/>
  <c r="O378" i="2"/>
  <c r="N378" i="2"/>
  <c r="K378" i="2"/>
  <c r="J378" i="2"/>
  <c r="D378" i="2"/>
  <c r="E378" i="2" s="1"/>
  <c r="F378" i="2" s="1"/>
  <c r="C378" i="2"/>
  <c r="O379" i="2"/>
  <c r="N379" i="2"/>
  <c r="K379" i="2"/>
  <c r="J379" i="2"/>
  <c r="D379" i="2"/>
  <c r="E379" i="2" s="1"/>
  <c r="H379" i="2" s="1"/>
  <c r="C379" i="2"/>
  <c r="O380" i="2"/>
  <c r="N380" i="2"/>
  <c r="K380" i="2"/>
  <c r="J380" i="2"/>
  <c r="D380" i="2"/>
  <c r="E380" i="2" s="1"/>
  <c r="C380" i="2"/>
  <c r="O381" i="2"/>
  <c r="N381" i="2"/>
  <c r="K381" i="2"/>
  <c r="J381" i="2"/>
  <c r="D381" i="2"/>
  <c r="E381" i="2" s="1"/>
  <c r="C381" i="2"/>
  <c r="O382" i="2"/>
  <c r="N382" i="2"/>
  <c r="K382" i="2"/>
  <c r="J382" i="2"/>
  <c r="D382" i="2"/>
  <c r="E382" i="2" s="1"/>
  <c r="C382" i="2"/>
  <c r="O383" i="2"/>
  <c r="N383" i="2"/>
  <c r="K383" i="2"/>
  <c r="J383" i="2"/>
  <c r="D383" i="2"/>
  <c r="E383" i="2" s="1"/>
  <c r="C383" i="2"/>
  <c r="O384" i="2"/>
  <c r="N384" i="2"/>
  <c r="K384" i="2"/>
  <c r="J384" i="2"/>
  <c r="D384" i="2"/>
  <c r="E384" i="2" s="1"/>
  <c r="C384" i="2"/>
  <c r="O385" i="2"/>
  <c r="N385" i="2"/>
  <c r="K385" i="2"/>
  <c r="J385" i="2"/>
  <c r="D385" i="2"/>
  <c r="E385" i="2" s="1"/>
  <c r="C385" i="2"/>
  <c r="O387" i="2"/>
  <c r="N387" i="2"/>
  <c r="K387" i="2"/>
  <c r="J387" i="2"/>
  <c r="D387" i="2"/>
  <c r="E387" i="2" s="1"/>
  <c r="G387" i="2" s="1"/>
  <c r="Q387" i="2" s="1"/>
  <c r="R387" i="2" s="1"/>
  <c r="C387" i="2"/>
  <c r="O388" i="2"/>
  <c r="N388" i="2"/>
  <c r="K388" i="2"/>
  <c r="J388" i="2"/>
  <c r="D388" i="2"/>
  <c r="E388" i="2" s="1"/>
  <c r="G388" i="2" s="1"/>
  <c r="Q388" i="2" s="1"/>
  <c r="R388" i="2" s="1"/>
  <c r="C388" i="2"/>
  <c r="O389" i="2"/>
  <c r="N389" i="2"/>
  <c r="K389" i="2"/>
  <c r="J389" i="2"/>
  <c r="D389" i="2"/>
  <c r="E389" i="2" s="1"/>
  <c r="C389" i="2"/>
  <c r="O390" i="2"/>
  <c r="N390" i="2"/>
  <c r="K390" i="2"/>
  <c r="J390" i="2"/>
  <c r="D390" i="2"/>
  <c r="E390" i="2" s="1"/>
  <c r="F390" i="2" s="1"/>
  <c r="C390" i="2"/>
  <c r="O391" i="2"/>
  <c r="N391" i="2"/>
  <c r="K391" i="2"/>
  <c r="J391" i="2"/>
  <c r="D391" i="2"/>
  <c r="E391" i="2" s="1"/>
  <c r="C391" i="2"/>
  <c r="O392" i="2"/>
  <c r="N392" i="2"/>
  <c r="K392" i="2"/>
  <c r="J392" i="2"/>
  <c r="D392" i="2"/>
  <c r="E392" i="2" s="1"/>
  <c r="H392" i="2" s="1"/>
  <c r="C392" i="2"/>
  <c r="C393" i="2"/>
  <c r="D393" i="2"/>
  <c r="E393" i="2" s="1"/>
  <c r="F393" i="2" s="1"/>
  <c r="J393" i="2"/>
  <c r="K393" i="2"/>
  <c r="N393" i="2"/>
  <c r="O393" i="2"/>
  <c r="O394" i="2"/>
  <c r="N394" i="2"/>
  <c r="K394" i="2"/>
  <c r="J394" i="2"/>
  <c r="D394" i="2"/>
  <c r="E394" i="2" s="1"/>
  <c r="H394" i="2" s="1"/>
  <c r="C394" i="2"/>
  <c r="O395" i="2"/>
  <c r="N395" i="2"/>
  <c r="K395" i="2"/>
  <c r="J395" i="2"/>
  <c r="D395" i="2"/>
  <c r="E395" i="2" s="1"/>
  <c r="C395" i="2"/>
  <c r="O396" i="2"/>
  <c r="N396" i="2"/>
  <c r="K396" i="2"/>
  <c r="J396" i="2"/>
  <c r="D396" i="2"/>
  <c r="E396" i="2" s="1"/>
  <c r="C396" i="2"/>
  <c r="O397" i="2"/>
  <c r="N397" i="2"/>
  <c r="K397" i="2"/>
  <c r="J397" i="2"/>
  <c r="D397" i="2"/>
  <c r="E397" i="2" s="1"/>
  <c r="C397" i="2"/>
  <c r="O398" i="2"/>
  <c r="N398" i="2"/>
  <c r="K398" i="2"/>
  <c r="J398" i="2"/>
  <c r="D398" i="2"/>
  <c r="E398" i="2" s="1"/>
  <c r="C398" i="2"/>
  <c r="O399" i="2"/>
  <c r="N399" i="2"/>
  <c r="K399" i="2"/>
  <c r="J399" i="2"/>
  <c r="D399" i="2"/>
  <c r="E399" i="2" s="1"/>
  <c r="G399" i="2" s="1"/>
  <c r="Q399" i="2" s="1"/>
  <c r="R399" i="2" s="1"/>
  <c r="C399" i="2"/>
  <c r="O400" i="2"/>
  <c r="N400" i="2"/>
  <c r="K400" i="2"/>
  <c r="J400" i="2"/>
  <c r="D400" i="2"/>
  <c r="E400" i="2" s="1"/>
  <c r="H400" i="2" s="1"/>
  <c r="C400" i="2"/>
  <c r="O401" i="2"/>
  <c r="N401" i="2"/>
  <c r="K401" i="2"/>
  <c r="J401" i="2"/>
  <c r="D401" i="2"/>
  <c r="E401" i="2" s="1"/>
  <c r="C401" i="2"/>
  <c r="O402" i="2"/>
  <c r="N402" i="2"/>
  <c r="K402" i="2"/>
  <c r="J402" i="2"/>
  <c r="D402" i="2"/>
  <c r="E402" i="2" s="1"/>
  <c r="C402" i="2"/>
  <c r="O403" i="2"/>
  <c r="N403" i="2"/>
  <c r="K403" i="2"/>
  <c r="J403" i="2"/>
  <c r="D403" i="2"/>
  <c r="E403" i="2" s="1"/>
  <c r="C403" i="2"/>
  <c r="O404" i="2"/>
  <c r="N404" i="2"/>
  <c r="K404" i="2"/>
  <c r="J404" i="2"/>
  <c r="D404" i="2"/>
  <c r="E404" i="2" s="1"/>
  <c r="H404" i="2" s="1"/>
  <c r="C404" i="2"/>
  <c r="O405" i="2"/>
  <c r="N405" i="2"/>
  <c r="K405" i="2"/>
  <c r="J405" i="2"/>
  <c r="D405" i="2"/>
  <c r="E405" i="2" s="1"/>
  <c r="C405" i="2"/>
  <c r="O406" i="2"/>
  <c r="N406" i="2"/>
  <c r="K406" i="2"/>
  <c r="J406" i="2"/>
  <c r="D406" i="2"/>
  <c r="E406" i="2" s="1"/>
  <c r="H406" i="2" s="1"/>
  <c r="C406" i="2"/>
  <c r="O407" i="2"/>
  <c r="N407" i="2"/>
  <c r="K407" i="2"/>
  <c r="J407" i="2"/>
  <c r="D407" i="2"/>
  <c r="E407" i="2" s="1"/>
  <c r="F407" i="2" s="1"/>
  <c r="C407" i="2"/>
  <c r="O408" i="2"/>
  <c r="N408" i="2"/>
  <c r="K408" i="2"/>
  <c r="J408" i="2"/>
  <c r="D408" i="2"/>
  <c r="E408" i="2" s="1"/>
  <c r="G408" i="2" s="1"/>
  <c r="Q408" i="2" s="1"/>
  <c r="R408" i="2" s="1"/>
  <c r="C408" i="2"/>
  <c r="O409" i="2"/>
  <c r="N409" i="2"/>
  <c r="K409" i="2"/>
  <c r="J409" i="2"/>
  <c r="D409" i="2"/>
  <c r="E409" i="2" s="1"/>
  <c r="C409" i="2"/>
  <c r="O410" i="2"/>
  <c r="N410" i="2"/>
  <c r="K410" i="2"/>
  <c r="J410" i="2"/>
  <c r="D410" i="2"/>
  <c r="E410" i="2" s="1"/>
  <c r="C410" i="2"/>
  <c r="O411" i="2"/>
  <c r="N411" i="2"/>
  <c r="K411" i="2"/>
  <c r="J411" i="2"/>
  <c r="D411" i="2"/>
  <c r="E411" i="2" s="1"/>
  <c r="G411" i="2" s="1"/>
  <c r="Q411" i="2" s="1"/>
  <c r="R411" i="2" s="1"/>
  <c r="C411" i="2"/>
  <c r="O412" i="2"/>
  <c r="N412" i="2"/>
  <c r="K412" i="2"/>
  <c r="J412" i="2"/>
  <c r="D412" i="2"/>
  <c r="E412" i="2" s="1"/>
  <c r="C412" i="2"/>
  <c r="O413" i="2"/>
  <c r="N413" i="2"/>
  <c r="K413" i="2"/>
  <c r="J413" i="2"/>
  <c r="D413" i="2"/>
  <c r="E413" i="2" s="1"/>
  <c r="F413" i="2" s="1"/>
  <c r="C413" i="2"/>
  <c r="O414" i="2"/>
  <c r="N414" i="2"/>
  <c r="K414" i="2"/>
  <c r="J414" i="2"/>
  <c r="D414" i="2"/>
  <c r="E414" i="2" s="1"/>
  <c r="G414" i="2" s="1"/>
  <c r="Q414" i="2" s="1"/>
  <c r="R414" i="2" s="1"/>
  <c r="O415" i="2"/>
  <c r="N415" i="2"/>
  <c r="K415" i="2"/>
  <c r="J415" i="2"/>
  <c r="D415" i="2"/>
  <c r="E415" i="2" s="1"/>
  <c r="G415" i="2" s="1"/>
  <c r="Q415" i="2" s="1"/>
  <c r="R415" i="2" s="1"/>
  <c r="C415" i="2"/>
  <c r="O416" i="2"/>
  <c r="N416" i="2"/>
  <c r="K416" i="2"/>
  <c r="J416" i="2"/>
  <c r="D416" i="2"/>
  <c r="E416" i="2" s="1"/>
  <c r="G416" i="2" s="1"/>
  <c r="Q416" i="2" s="1"/>
  <c r="R416" i="2" s="1"/>
  <c r="C416" i="2"/>
  <c r="O417" i="2"/>
  <c r="N417" i="2"/>
  <c r="K417" i="2"/>
  <c r="J417" i="2"/>
  <c r="D417" i="2"/>
  <c r="E417" i="2" s="1"/>
  <c r="C417" i="2"/>
  <c r="O418" i="2"/>
  <c r="N418" i="2"/>
  <c r="K418" i="2"/>
  <c r="J418" i="2"/>
  <c r="D418" i="2"/>
  <c r="E418" i="2" s="1"/>
  <c r="H418" i="2" s="1"/>
  <c r="C418" i="2"/>
  <c r="O419" i="2"/>
  <c r="N419" i="2"/>
  <c r="K419" i="2"/>
  <c r="J419" i="2"/>
  <c r="D419" i="2"/>
  <c r="E419" i="2" s="1"/>
  <c r="C419" i="2"/>
  <c r="O420" i="2"/>
  <c r="N420" i="2"/>
  <c r="K420" i="2"/>
  <c r="J420" i="2"/>
  <c r="D420" i="2"/>
  <c r="E420" i="2" s="1"/>
  <c r="H420" i="2" s="1"/>
  <c r="C420" i="2"/>
  <c r="O421" i="2"/>
  <c r="N421" i="2"/>
  <c r="K421" i="2"/>
  <c r="J421" i="2"/>
  <c r="D421" i="2"/>
  <c r="E421" i="2" s="1"/>
  <c r="C421" i="2"/>
  <c r="O422" i="2"/>
  <c r="N422" i="2"/>
  <c r="K422" i="2"/>
  <c r="J422" i="2"/>
  <c r="D422" i="2"/>
  <c r="E422" i="2" s="1"/>
  <c r="C422" i="2"/>
  <c r="O423" i="2"/>
  <c r="N423" i="2"/>
  <c r="K423" i="2"/>
  <c r="J423" i="2"/>
  <c r="D423" i="2"/>
  <c r="E423" i="2" s="1"/>
  <c r="H423" i="2" s="1"/>
  <c r="C423" i="2"/>
  <c r="O424" i="2"/>
  <c r="N424" i="2"/>
  <c r="K424" i="2"/>
  <c r="J424" i="2"/>
  <c r="D424" i="2"/>
  <c r="E424" i="2" s="1"/>
  <c r="C424" i="2"/>
  <c r="O425" i="2"/>
  <c r="N425" i="2"/>
  <c r="K425" i="2"/>
  <c r="J425" i="2"/>
  <c r="D425" i="2"/>
  <c r="E425" i="2" s="1"/>
  <c r="G425" i="2" s="1"/>
  <c r="Q425" i="2" s="1"/>
  <c r="R425" i="2" s="1"/>
  <c r="C425" i="2"/>
  <c r="O426" i="2"/>
  <c r="N426" i="2"/>
  <c r="K426" i="2"/>
  <c r="J426" i="2"/>
  <c r="D426" i="2"/>
  <c r="E426" i="2" s="1"/>
  <c r="C426" i="2"/>
  <c r="O427" i="2"/>
  <c r="N427" i="2"/>
  <c r="K427" i="2"/>
  <c r="J427" i="2"/>
  <c r="D427" i="2"/>
  <c r="E427" i="2" s="1"/>
  <c r="C427" i="2"/>
  <c r="O428" i="2"/>
  <c r="N428" i="2"/>
  <c r="K428" i="2"/>
  <c r="J428" i="2"/>
  <c r="D428" i="2"/>
  <c r="E428" i="2" s="1"/>
  <c r="C428" i="2"/>
  <c r="O429" i="2"/>
  <c r="N429" i="2"/>
  <c r="K429" i="2"/>
  <c r="J429" i="2"/>
  <c r="D429" i="2"/>
  <c r="E429" i="2" s="1"/>
  <c r="G429" i="2" s="1"/>
  <c r="Q429" i="2" s="1"/>
  <c r="R429" i="2" s="1"/>
  <c r="C429" i="2"/>
  <c r="O430" i="2"/>
  <c r="N430" i="2"/>
  <c r="K430" i="2"/>
  <c r="J430" i="2"/>
  <c r="D430" i="2"/>
  <c r="E430" i="2" s="1"/>
  <c r="C430" i="2"/>
  <c r="O431" i="2"/>
  <c r="N431" i="2"/>
  <c r="K431" i="2"/>
  <c r="J431" i="2"/>
  <c r="D431" i="2"/>
  <c r="E431" i="2" s="1"/>
  <c r="G431" i="2" s="1"/>
  <c r="Q431" i="2" s="1"/>
  <c r="R431" i="2" s="1"/>
  <c r="C431" i="2"/>
  <c r="O432" i="2"/>
  <c r="N432" i="2"/>
  <c r="K432" i="2"/>
  <c r="J432" i="2"/>
  <c r="D432" i="2"/>
  <c r="E432" i="2" s="1"/>
  <c r="G432" i="2" s="1"/>
  <c r="Q432" i="2" s="1"/>
  <c r="R432" i="2" s="1"/>
  <c r="C432" i="2"/>
  <c r="O433" i="2"/>
  <c r="N433" i="2"/>
  <c r="K433" i="2"/>
  <c r="J433" i="2"/>
  <c r="D433" i="2"/>
  <c r="E433" i="2" s="1"/>
  <c r="H433" i="2" s="1"/>
  <c r="C433" i="2"/>
  <c r="O434" i="2"/>
  <c r="N434" i="2"/>
  <c r="K434" i="2"/>
  <c r="J434" i="2"/>
  <c r="D434" i="2"/>
  <c r="E434" i="2" s="1"/>
  <c r="C434" i="2"/>
  <c r="O435" i="2"/>
  <c r="N435" i="2"/>
  <c r="K435" i="2"/>
  <c r="J435" i="2"/>
  <c r="D435" i="2"/>
  <c r="E435" i="2" s="1"/>
  <c r="G435" i="2" s="1"/>
  <c r="Q435" i="2" s="1"/>
  <c r="R435" i="2" s="1"/>
  <c r="C435" i="2"/>
  <c r="O436" i="2"/>
  <c r="N436" i="2"/>
  <c r="K436" i="2"/>
  <c r="J436" i="2"/>
  <c r="D436" i="2"/>
  <c r="E436" i="2" s="1"/>
  <c r="H436" i="2" s="1"/>
  <c r="C436" i="2"/>
  <c r="O437" i="2"/>
  <c r="N437" i="2"/>
  <c r="K437" i="2"/>
  <c r="J437" i="2"/>
  <c r="D437" i="2"/>
  <c r="E437" i="2" s="1"/>
  <c r="G437" i="2" s="1"/>
  <c r="Q437" i="2" s="1"/>
  <c r="R437" i="2" s="1"/>
  <c r="C437" i="2"/>
  <c r="O438" i="2"/>
  <c r="N438" i="2"/>
  <c r="K438" i="2"/>
  <c r="J438" i="2"/>
  <c r="D438" i="2"/>
  <c r="E438" i="2" s="1"/>
  <c r="C438" i="2"/>
  <c r="O439" i="2"/>
  <c r="N439" i="2"/>
  <c r="K439" i="2"/>
  <c r="J439" i="2"/>
  <c r="D439" i="2"/>
  <c r="E439" i="2" s="1"/>
  <c r="G439" i="2" s="1"/>
  <c r="Q439" i="2" s="1"/>
  <c r="R439" i="2" s="1"/>
  <c r="C439" i="2"/>
  <c r="O440" i="2"/>
  <c r="N440" i="2"/>
  <c r="K440" i="2"/>
  <c r="J440" i="2"/>
  <c r="D440" i="2"/>
  <c r="E440" i="2" s="1"/>
  <c r="C440" i="2"/>
  <c r="O441" i="2"/>
  <c r="N441" i="2"/>
  <c r="K441" i="2"/>
  <c r="J441" i="2"/>
  <c r="D441" i="2"/>
  <c r="E441" i="2" s="1"/>
  <c r="C441" i="2"/>
  <c r="O442" i="2"/>
  <c r="N442" i="2"/>
  <c r="K442" i="2"/>
  <c r="J442" i="2"/>
  <c r="D442" i="2"/>
  <c r="E442" i="2" s="1"/>
  <c r="H442" i="2" s="1"/>
  <c r="C442" i="2"/>
  <c r="O443" i="2"/>
  <c r="N443" i="2"/>
  <c r="K443" i="2"/>
  <c r="J443" i="2"/>
  <c r="D443" i="2"/>
  <c r="E443" i="2" s="1"/>
  <c r="C443" i="2"/>
  <c r="O444" i="2"/>
  <c r="N444" i="2"/>
  <c r="K444" i="2"/>
  <c r="J444" i="2"/>
  <c r="D444" i="2"/>
  <c r="E444" i="2" s="1"/>
  <c r="G444" i="2" s="1"/>
  <c r="Q444" i="2" s="1"/>
  <c r="R444" i="2" s="1"/>
  <c r="C444" i="2"/>
  <c r="O445" i="2"/>
  <c r="N445" i="2"/>
  <c r="K445" i="2"/>
  <c r="J445" i="2"/>
  <c r="D445" i="2"/>
  <c r="E445" i="2" s="1"/>
  <c r="F445" i="2" s="1"/>
  <c r="C445" i="2"/>
  <c r="O446" i="2"/>
  <c r="N446" i="2"/>
  <c r="K446" i="2"/>
  <c r="J446" i="2"/>
  <c r="D446" i="2"/>
  <c r="E446" i="2" s="1"/>
  <c r="G446" i="2" s="1"/>
  <c r="Q446" i="2" s="1"/>
  <c r="R446" i="2" s="1"/>
  <c r="C446" i="2"/>
  <c r="O447" i="2"/>
  <c r="N447" i="2"/>
  <c r="K447" i="2"/>
  <c r="J447" i="2"/>
  <c r="D447" i="2"/>
  <c r="E447" i="2" s="1"/>
  <c r="G447" i="2" s="1"/>
  <c r="Q447" i="2" s="1"/>
  <c r="R447" i="2" s="1"/>
  <c r="C447" i="2"/>
  <c r="O448" i="2"/>
  <c r="N448" i="2"/>
  <c r="K448" i="2"/>
  <c r="J448" i="2"/>
  <c r="D448" i="2"/>
  <c r="E448" i="2" s="1"/>
  <c r="G448" i="2" s="1"/>
  <c r="Q448" i="2" s="1"/>
  <c r="R448" i="2" s="1"/>
  <c r="C448" i="2"/>
  <c r="O449" i="2"/>
  <c r="N449" i="2"/>
  <c r="K449" i="2"/>
  <c r="J449" i="2"/>
  <c r="D449" i="2"/>
  <c r="E449" i="2" s="1"/>
  <c r="C449" i="2"/>
  <c r="O450" i="2"/>
  <c r="N450" i="2"/>
  <c r="K450" i="2"/>
  <c r="J450" i="2"/>
  <c r="D450" i="2"/>
  <c r="E450" i="2" s="1"/>
  <c r="C450" i="2"/>
  <c r="O451" i="2"/>
  <c r="N451" i="2"/>
  <c r="K451" i="2"/>
  <c r="J451" i="2"/>
  <c r="D451" i="2"/>
  <c r="E451" i="2" s="1"/>
  <c r="F451" i="2" s="1"/>
  <c r="C451" i="2"/>
  <c r="O452" i="2"/>
  <c r="N452" i="2"/>
  <c r="K452" i="2"/>
  <c r="J452" i="2"/>
  <c r="D452" i="2"/>
  <c r="E452" i="2" s="1"/>
  <c r="C452" i="2"/>
  <c r="O453" i="2"/>
  <c r="N453" i="2"/>
  <c r="K453" i="2"/>
  <c r="J453" i="2"/>
  <c r="D453" i="2"/>
  <c r="E453" i="2" s="1"/>
  <c r="G453" i="2" s="1"/>
  <c r="Q453" i="2" s="1"/>
  <c r="R453" i="2" s="1"/>
  <c r="C453" i="2"/>
  <c r="O454" i="2"/>
  <c r="N454" i="2"/>
  <c r="K454" i="2"/>
  <c r="J454" i="2"/>
  <c r="D454" i="2"/>
  <c r="E454" i="2" s="1"/>
  <c r="C454" i="2"/>
  <c r="O455" i="2"/>
  <c r="N455" i="2"/>
  <c r="K455" i="2"/>
  <c r="J455" i="2"/>
  <c r="D455" i="2"/>
  <c r="E455" i="2" s="1"/>
  <c r="F455" i="2" s="1"/>
  <c r="C455" i="2"/>
  <c r="O456" i="2"/>
  <c r="N456" i="2"/>
  <c r="K456" i="2"/>
  <c r="J456" i="2"/>
  <c r="D456" i="2"/>
  <c r="E456" i="2" s="1"/>
  <c r="H456" i="2" s="1"/>
  <c r="C456" i="2"/>
  <c r="O457" i="2"/>
  <c r="N457" i="2"/>
  <c r="K457" i="2"/>
  <c r="J457" i="2"/>
  <c r="D457" i="2"/>
  <c r="E457" i="2" s="1"/>
  <c r="G457" i="2" s="1"/>
  <c r="Q457" i="2" s="1"/>
  <c r="R457" i="2" s="1"/>
  <c r="C457" i="2"/>
  <c r="O458" i="2"/>
  <c r="N458" i="2"/>
  <c r="K458" i="2"/>
  <c r="J458" i="2"/>
  <c r="D458" i="2"/>
  <c r="E458" i="2" s="1"/>
  <c r="H458" i="2" s="1"/>
  <c r="C458" i="2"/>
  <c r="O459" i="2"/>
  <c r="N459" i="2"/>
  <c r="K459" i="2"/>
  <c r="J459" i="2"/>
  <c r="D459" i="2"/>
  <c r="E459" i="2" s="1"/>
  <c r="G459" i="2" s="1"/>
  <c r="Q459" i="2" s="1"/>
  <c r="R459" i="2" s="1"/>
  <c r="C459" i="2"/>
  <c r="O460" i="2"/>
  <c r="N460" i="2"/>
  <c r="K460" i="2"/>
  <c r="J460" i="2"/>
  <c r="D460" i="2"/>
  <c r="E460" i="2" s="1"/>
  <c r="F460" i="2" s="1"/>
  <c r="C460" i="2"/>
  <c r="O461" i="2"/>
  <c r="N461" i="2"/>
  <c r="K461" i="2"/>
  <c r="J461" i="2"/>
  <c r="D461" i="2"/>
  <c r="E461" i="2" s="1"/>
  <c r="C461" i="2"/>
  <c r="E22" i="9"/>
  <c r="F22" i="9" s="1"/>
  <c r="E21" i="9"/>
  <c r="F21" i="9" s="1"/>
  <c r="E20" i="9"/>
  <c r="F20" i="9" s="1"/>
  <c r="E18" i="9"/>
  <c r="F18" i="9" s="1"/>
  <c r="E17" i="9"/>
  <c r="F17" i="9" s="1"/>
  <c r="E15" i="9"/>
  <c r="F15" i="9"/>
  <c r="E14" i="9"/>
  <c r="F14" i="9" s="1"/>
  <c r="E13" i="9"/>
  <c r="F13" i="9"/>
  <c r="E11" i="9"/>
  <c r="F11" i="9" s="1"/>
  <c r="E10" i="9"/>
  <c r="F10" i="9" s="1"/>
  <c r="E16" i="9"/>
  <c r="F16" i="9" s="1"/>
  <c r="E8" i="9"/>
  <c r="F8" i="9" s="1"/>
  <c r="E9" i="9"/>
  <c r="F9" i="9" s="1"/>
  <c r="E7" i="9"/>
  <c r="F7" i="9" s="1"/>
  <c r="E6" i="9"/>
  <c r="F6" i="9" s="1"/>
  <c r="P418" i="2" l="1"/>
  <c r="P206" i="2"/>
  <c r="P133" i="2"/>
  <c r="P201" i="2"/>
  <c r="P217" i="2"/>
  <c r="P231" i="2"/>
  <c r="P249" i="2"/>
  <c r="P373" i="2"/>
  <c r="P31" i="2"/>
  <c r="P27" i="2"/>
  <c r="P47" i="2"/>
  <c r="P24" i="2"/>
  <c r="P45" i="2"/>
  <c r="P41" i="2"/>
  <c r="P245" i="2"/>
  <c r="P290" i="2"/>
  <c r="P43" i="2"/>
  <c r="P169" i="2"/>
  <c r="P188" i="2"/>
  <c r="P274" i="2"/>
  <c r="P270" i="2"/>
  <c r="P291" i="2"/>
  <c r="P412" i="2"/>
  <c r="P404" i="2"/>
  <c r="P400" i="2"/>
  <c r="P173" i="2"/>
  <c r="P145" i="2"/>
  <c r="P225" i="2"/>
  <c r="P242" i="2"/>
  <c r="P384" i="2"/>
  <c r="P338" i="2"/>
  <c r="P109" i="2"/>
  <c r="P76" i="2"/>
  <c r="P121" i="2"/>
  <c r="P138" i="2"/>
  <c r="P414" i="2"/>
  <c r="P410" i="2"/>
  <c r="P406" i="2"/>
  <c r="P398" i="2"/>
  <c r="P390" i="2"/>
  <c r="P385" i="2"/>
  <c r="P307" i="2"/>
  <c r="P232" i="2"/>
  <c r="P246" i="2"/>
  <c r="P240" i="2"/>
  <c r="P360" i="2"/>
  <c r="P356" i="2"/>
  <c r="P203" i="2"/>
  <c r="P229" i="2"/>
  <c r="P247" i="2"/>
  <c r="P243" i="2"/>
  <c r="P448" i="2"/>
  <c r="P428" i="2"/>
  <c r="P461" i="2"/>
  <c r="P453" i="2"/>
  <c r="P429" i="2"/>
  <c r="P425" i="2"/>
  <c r="P401" i="2"/>
  <c r="P379" i="2"/>
  <c r="P375" i="2"/>
  <c r="P370" i="2"/>
  <c r="P365" i="2"/>
  <c r="P154" i="2"/>
  <c r="P450" i="2"/>
  <c r="P397" i="2"/>
  <c r="P380" i="2"/>
  <c r="P371" i="2"/>
  <c r="P362" i="2"/>
  <c r="P358" i="2"/>
  <c r="P34" i="2"/>
  <c r="P53" i="2"/>
  <c r="P122" i="2"/>
  <c r="P426" i="2"/>
  <c r="P455" i="2"/>
  <c r="P451" i="2"/>
  <c r="P377" i="2"/>
  <c r="P372" i="2"/>
  <c r="P363" i="2"/>
  <c r="P287" i="2"/>
  <c r="P378" i="2"/>
  <c r="P207" i="2"/>
  <c r="P253" i="2"/>
  <c r="P204" i="2"/>
  <c r="P416" i="2"/>
  <c r="P36" i="2"/>
  <c r="P70" i="2"/>
  <c r="P79" i="2"/>
  <c r="P116" i="2"/>
  <c r="P112" i="2"/>
  <c r="P129" i="2"/>
  <c r="P146" i="2"/>
  <c r="P159" i="2"/>
  <c r="P177" i="2"/>
  <c r="P457" i="2"/>
  <c r="P432" i="2"/>
  <c r="P411" i="2"/>
  <c r="P409" i="2"/>
  <c r="P405" i="2"/>
  <c r="P389" i="2"/>
  <c r="P383" i="2"/>
  <c r="P12" i="2"/>
  <c r="P8" i="2"/>
  <c r="P84" i="2"/>
  <c r="P96" i="2"/>
  <c r="P117" i="2"/>
  <c r="P130" i="2"/>
  <c r="P148" i="2"/>
  <c r="P193" i="2"/>
  <c r="P184" i="2"/>
  <c r="P252" i="2"/>
  <c r="P454" i="2"/>
  <c r="P441" i="2"/>
  <c r="P437" i="2"/>
  <c r="P394" i="2"/>
  <c r="P376" i="2"/>
  <c r="P367" i="2"/>
  <c r="P357" i="2"/>
  <c r="P324" i="2"/>
  <c r="P147" i="2"/>
  <c r="P105" i="2"/>
  <c r="P101" i="2"/>
  <c r="P170" i="2"/>
  <c r="P166" i="2"/>
  <c r="P185" i="2"/>
  <c r="P267" i="2"/>
  <c r="P285" i="2"/>
  <c r="P298" i="2"/>
  <c r="P459" i="2"/>
  <c r="P434" i="2"/>
  <c r="P430" i="2"/>
  <c r="P421" i="2"/>
  <c r="P417" i="2"/>
  <c r="P413" i="2"/>
  <c r="P381" i="2"/>
  <c r="P313" i="2"/>
  <c r="P305" i="2"/>
  <c r="P10" i="2"/>
  <c r="P86" i="2"/>
  <c r="P98" i="2"/>
  <c r="P110" i="2"/>
  <c r="P73" i="2"/>
  <c r="P126" i="2"/>
  <c r="P155" i="2"/>
  <c r="P171" i="2"/>
  <c r="P186" i="2"/>
  <c r="P456" i="2"/>
  <c r="P452" i="2"/>
  <c r="P439" i="2"/>
  <c r="P431" i="2"/>
  <c r="P408" i="2"/>
  <c r="P396" i="2"/>
  <c r="P392" i="2"/>
  <c r="P388" i="2"/>
  <c r="P374" i="2"/>
  <c r="P369" i="2"/>
  <c r="P355" i="2"/>
  <c r="P302" i="2"/>
  <c r="P158" i="2"/>
  <c r="P95" i="2"/>
  <c r="P107" i="2"/>
  <c r="P99" i="2"/>
  <c r="P144" i="2"/>
  <c r="P140" i="2"/>
  <c r="P136" i="2"/>
  <c r="P156" i="2"/>
  <c r="P172" i="2"/>
  <c r="P168" i="2"/>
  <c r="P187" i="2"/>
  <c r="P238" i="2"/>
  <c r="P269" i="2"/>
  <c r="P458" i="2"/>
  <c r="P444" i="2"/>
  <c r="P420" i="2"/>
  <c r="P402" i="2"/>
  <c r="P382" i="2"/>
  <c r="P361" i="2"/>
  <c r="P11" i="2"/>
  <c r="P7" i="2"/>
  <c r="P192" i="2"/>
  <c r="P82" i="2"/>
  <c r="P78" i="2"/>
  <c r="P115" i="2"/>
  <c r="P111" i="2"/>
  <c r="P128" i="2"/>
  <c r="P162" i="2"/>
  <c r="P190" i="2"/>
  <c r="P74" i="2"/>
  <c r="P91" i="2"/>
  <c r="P103" i="2"/>
  <c r="P123" i="2"/>
  <c r="P220" i="2"/>
  <c r="P235" i="2"/>
  <c r="P198" i="2"/>
  <c r="P211" i="2"/>
  <c r="P224" i="2"/>
  <c r="P241" i="2"/>
  <c r="P447" i="2"/>
  <c r="P460" i="2"/>
  <c r="P440" i="2"/>
  <c r="P436" i="2"/>
  <c r="P435" i="2"/>
  <c r="P368" i="2"/>
  <c r="P366" i="2"/>
  <c r="P353" i="2"/>
  <c r="P345" i="2"/>
  <c r="P337" i="2"/>
  <c r="P331" i="2"/>
  <c r="P323" i="2"/>
  <c r="P315" i="2"/>
  <c r="P303" i="2"/>
  <c r="P268" i="2"/>
  <c r="P75" i="2"/>
  <c r="P71" i="2"/>
  <c r="P92" i="2"/>
  <c r="P108" i="2"/>
  <c r="P104" i="2"/>
  <c r="P100" i="2"/>
  <c r="P124" i="2"/>
  <c r="P141" i="2"/>
  <c r="P137" i="2"/>
  <c r="P157" i="2"/>
  <c r="P153" i="2"/>
  <c r="P208" i="2"/>
  <c r="P221" i="2"/>
  <c r="P236" i="2"/>
  <c r="P254" i="2"/>
  <c r="P250" i="2"/>
  <c r="P299" i="2"/>
  <c r="P443" i="2"/>
  <c r="P427" i="2"/>
  <c r="P423" i="2"/>
  <c r="P407" i="2"/>
  <c r="P403" i="2"/>
  <c r="P399" i="2"/>
  <c r="P462" i="2"/>
  <c r="P23" i="2"/>
  <c r="P284" i="2"/>
  <c r="P280" i="2"/>
  <c r="P259" i="2"/>
  <c r="P272" i="2"/>
  <c r="P293" i="2"/>
  <c r="P449" i="2"/>
  <c r="P445" i="2"/>
  <c r="P446" i="2"/>
  <c r="P424" i="2"/>
  <c r="P422" i="2"/>
  <c r="P359" i="2"/>
  <c r="P13" i="2"/>
  <c r="P9" i="2"/>
  <c r="P149" i="2"/>
  <c r="P80" i="2"/>
  <c r="P113" i="2"/>
  <c r="P160" i="2"/>
  <c r="P178" i="2"/>
  <c r="P174" i="2"/>
  <c r="P72" i="2"/>
  <c r="P89" i="2"/>
  <c r="P125" i="2"/>
  <c r="P152" i="2"/>
  <c r="P209" i="2"/>
  <c r="P233" i="2"/>
  <c r="P251" i="2"/>
  <c r="P199" i="2"/>
  <c r="P215" i="2"/>
  <c r="P196" i="2"/>
  <c r="P213" i="2"/>
  <c r="P226" i="2"/>
  <c r="P222" i="2"/>
  <c r="P239" i="2"/>
  <c r="P300" i="2"/>
  <c r="P442" i="2"/>
  <c r="P438" i="2"/>
  <c r="P433" i="2"/>
  <c r="P395" i="2"/>
  <c r="P393" i="2"/>
  <c r="P391" i="2"/>
  <c r="P387" i="2"/>
  <c r="P386" i="2"/>
  <c r="P364" i="2"/>
  <c r="P351" i="2"/>
  <c r="P343" i="2"/>
  <c r="P329" i="2"/>
  <c r="P419" i="2"/>
  <c r="P415" i="2"/>
  <c r="P14" i="2"/>
  <c r="P6" i="2"/>
  <c r="P33" i="2"/>
  <c r="P164" i="2"/>
  <c r="P181" i="2"/>
  <c r="P81" i="2"/>
  <c r="P77" i="2"/>
  <c r="P114" i="2"/>
  <c r="P127" i="2"/>
  <c r="P161" i="2"/>
  <c r="P179" i="2"/>
  <c r="P175" i="2"/>
  <c r="P189" i="2"/>
  <c r="P94" i="2"/>
  <c r="P90" i="2"/>
  <c r="P106" i="2"/>
  <c r="P102" i="2"/>
  <c r="P143" i="2"/>
  <c r="P139" i="2"/>
  <c r="P219" i="2"/>
  <c r="P234" i="2"/>
  <c r="P197" i="2"/>
  <c r="P227" i="2"/>
  <c r="P223" i="2"/>
  <c r="P349" i="2"/>
  <c r="P341" i="2"/>
  <c r="P335" i="2"/>
  <c r="P327" i="2"/>
  <c r="P319" i="2"/>
  <c r="P311" i="2"/>
  <c r="P30" i="2"/>
  <c r="P51" i="2"/>
  <c r="P46" i="2"/>
  <c r="P44" i="2"/>
  <c r="P38" i="2"/>
  <c r="P87" i="2"/>
  <c r="P83" i="2"/>
  <c r="P120" i="2"/>
  <c r="P151" i="2"/>
  <c r="P165" i="2"/>
  <c r="P182" i="2"/>
  <c r="P202" i="2"/>
  <c r="P218" i="2"/>
  <c r="P228" i="2"/>
  <c r="P264" i="2"/>
  <c r="P354" i="2"/>
  <c r="P350" i="2"/>
  <c r="P346" i="2"/>
  <c r="P342" i="2"/>
  <c r="P336" i="2"/>
  <c r="P332" i="2"/>
  <c r="P320" i="2"/>
  <c r="P316" i="2"/>
  <c r="P312" i="2"/>
  <c r="P308" i="2"/>
  <c r="P17" i="2"/>
  <c r="P167" i="2"/>
  <c r="P214" i="2"/>
  <c r="P265" i="2"/>
  <c r="P347" i="2"/>
  <c r="P339" i="2"/>
  <c r="P333" i="2"/>
  <c r="P325" i="2"/>
  <c r="P321" i="2"/>
  <c r="P317" i="2"/>
  <c r="P309" i="2"/>
  <c r="P18" i="2"/>
  <c r="P32" i="2"/>
  <c r="P28" i="2"/>
  <c r="P48" i="2"/>
  <c r="P25" i="2"/>
  <c r="P21" i="2"/>
  <c r="P42" i="2"/>
  <c r="P85" i="2"/>
  <c r="P97" i="2"/>
  <c r="P118" i="2"/>
  <c r="P131" i="2"/>
  <c r="P163" i="2"/>
  <c r="P180" i="2"/>
  <c r="P205" i="2"/>
  <c r="P200" i="2"/>
  <c r="P216" i="2"/>
  <c r="P230" i="2"/>
  <c r="P248" i="2"/>
  <c r="P244" i="2"/>
  <c r="P266" i="2"/>
  <c r="P288" i="2"/>
  <c r="P301" i="2"/>
  <c r="P135" i="2"/>
  <c r="P210" i="2"/>
  <c r="P352" i="2"/>
  <c r="P348" i="2"/>
  <c r="P344" i="2"/>
  <c r="P340" i="2"/>
  <c r="P334" i="2"/>
  <c r="P330" i="2"/>
  <c r="P326" i="2"/>
  <c r="P322" i="2"/>
  <c r="P318" i="2"/>
  <c r="P314" i="2"/>
  <c r="P310" i="2"/>
  <c r="P306" i="2"/>
  <c r="P15" i="2"/>
  <c r="P195" i="2"/>
  <c r="P289" i="2"/>
  <c r="F287" i="2"/>
  <c r="F345" i="2"/>
  <c r="H235" i="2"/>
  <c r="P19" i="2"/>
  <c r="P20" i="2"/>
  <c r="P16" i="2"/>
  <c r="P35" i="2"/>
  <c r="P54" i="2"/>
  <c r="G348" i="2"/>
  <c r="Q348" i="2" s="1"/>
  <c r="R348" i="2" s="1"/>
  <c r="F290" i="2"/>
  <c r="G241" i="2"/>
  <c r="Q241" i="2" s="1"/>
  <c r="R241" i="2" s="1"/>
  <c r="G224" i="2"/>
  <c r="Q224" i="2" s="1"/>
  <c r="R224" i="2" s="1"/>
  <c r="F104" i="2"/>
  <c r="F177" i="2"/>
  <c r="F71" i="2"/>
  <c r="F100" i="2"/>
  <c r="G104" i="2"/>
  <c r="Q104" i="2" s="1"/>
  <c r="R104" i="2" s="1"/>
  <c r="G126" i="2"/>
  <c r="Q126" i="2" s="1"/>
  <c r="R126" i="2" s="1"/>
  <c r="H177" i="2"/>
  <c r="G124" i="2"/>
  <c r="Q124" i="2" s="1"/>
  <c r="R124" i="2" s="1"/>
  <c r="G100" i="2"/>
  <c r="Q100" i="2" s="1"/>
  <c r="R100" i="2" s="1"/>
  <c r="G313" i="2"/>
  <c r="Q313" i="2" s="1"/>
  <c r="R313" i="2" s="1"/>
  <c r="G206" i="2"/>
  <c r="Q206" i="2" s="1"/>
  <c r="R206" i="2" s="1"/>
  <c r="F313" i="2"/>
  <c r="G205" i="2"/>
  <c r="Q205" i="2" s="1"/>
  <c r="R205" i="2" s="1"/>
  <c r="F329" i="2"/>
  <c r="F6" i="2"/>
  <c r="G200" i="2"/>
  <c r="Q200" i="2" s="1"/>
  <c r="R200" i="2" s="1"/>
  <c r="G198" i="2"/>
  <c r="Q198" i="2" s="1"/>
  <c r="R198" i="2" s="1"/>
  <c r="H224" i="2"/>
  <c r="F394" i="2"/>
  <c r="F196" i="2"/>
  <c r="F83" i="2"/>
  <c r="H171" i="2"/>
  <c r="F205" i="2"/>
  <c r="F249" i="2"/>
  <c r="H244" i="2"/>
  <c r="F198" i="2"/>
  <c r="F227" i="2"/>
  <c r="H72" i="2"/>
  <c r="G125" i="2"/>
  <c r="Q125" i="2" s="1"/>
  <c r="R125" i="2" s="1"/>
  <c r="F365" i="2"/>
  <c r="H6" i="2"/>
  <c r="G183" i="2"/>
  <c r="Q183" i="2" s="1"/>
  <c r="R183" i="2" s="1"/>
  <c r="F116" i="2"/>
  <c r="G235" i="2"/>
  <c r="Q235" i="2" s="1"/>
  <c r="R235" i="2" s="1"/>
  <c r="F248" i="2"/>
  <c r="G196" i="2"/>
  <c r="Q196" i="2" s="1"/>
  <c r="R196" i="2" s="1"/>
  <c r="H227" i="2"/>
  <c r="F19" i="2"/>
  <c r="G19" i="2"/>
  <c r="Q19" i="2" s="1"/>
  <c r="R19" i="2" s="1"/>
  <c r="H217" i="2"/>
  <c r="G345" i="2"/>
  <c r="Q345" i="2" s="1"/>
  <c r="R345" i="2" s="1"/>
  <c r="H117" i="2"/>
  <c r="G394" i="2"/>
  <c r="Q394" i="2" s="1"/>
  <c r="R394" i="2" s="1"/>
  <c r="H341" i="2"/>
  <c r="F80" i="2"/>
  <c r="F136" i="2"/>
  <c r="F457" i="2"/>
  <c r="G340" i="2"/>
  <c r="Q340" i="2" s="1"/>
  <c r="R340" i="2" s="1"/>
  <c r="F333" i="2"/>
  <c r="H148" i="2"/>
  <c r="F183" i="2"/>
  <c r="F128" i="2"/>
  <c r="H200" i="2"/>
  <c r="F244" i="2"/>
  <c r="F242" i="2"/>
  <c r="F403" i="2"/>
  <c r="H403" i="2"/>
  <c r="H271" i="2"/>
  <c r="G271" i="2"/>
  <c r="Q271" i="2" s="1"/>
  <c r="R271" i="2" s="1"/>
  <c r="H340" i="2"/>
  <c r="H329" i="2"/>
  <c r="G49" i="2"/>
  <c r="Q49" i="2" s="1"/>
  <c r="R49" i="2" s="1"/>
  <c r="F78" i="2"/>
  <c r="H116" i="2"/>
  <c r="H291" i="2"/>
  <c r="H448" i="2"/>
  <c r="F16" i="2"/>
  <c r="F149" i="2"/>
  <c r="G78" i="2"/>
  <c r="Q78" i="2" s="1"/>
  <c r="R78" i="2" s="1"/>
  <c r="F72" i="2"/>
  <c r="G172" i="2"/>
  <c r="Q172" i="2" s="1"/>
  <c r="R172" i="2" s="1"/>
  <c r="G168" i="2"/>
  <c r="Q168" i="2" s="1"/>
  <c r="R168" i="2" s="1"/>
  <c r="F217" i="2"/>
  <c r="F214" i="2"/>
  <c r="F300" i="2"/>
  <c r="H333" i="2"/>
  <c r="G16" i="2"/>
  <c r="Q16" i="2" s="1"/>
  <c r="R16" i="2" s="1"/>
  <c r="G149" i="2"/>
  <c r="Q149" i="2" s="1"/>
  <c r="R149" i="2" s="1"/>
  <c r="F171" i="2"/>
  <c r="H168" i="2"/>
  <c r="F206" i="2"/>
  <c r="G249" i="2"/>
  <c r="Q249" i="2" s="1"/>
  <c r="R249" i="2" s="1"/>
  <c r="F241" i="2"/>
  <c r="H336" i="2"/>
  <c r="F336" i="2"/>
  <c r="G336" i="2"/>
  <c r="Q336" i="2" s="1"/>
  <c r="R336" i="2" s="1"/>
  <c r="G308" i="2"/>
  <c r="Q308" i="2" s="1"/>
  <c r="R308" i="2" s="1"/>
  <c r="F308" i="2"/>
  <c r="H308" i="2"/>
  <c r="H281" i="2"/>
  <c r="F281" i="2"/>
  <c r="G281" i="2"/>
  <c r="Q281" i="2" s="1"/>
  <c r="R281" i="2" s="1"/>
  <c r="F344" i="2"/>
  <c r="G344" i="2"/>
  <c r="Q344" i="2" s="1"/>
  <c r="R344" i="2" s="1"/>
  <c r="H344" i="2"/>
  <c r="F379" i="2"/>
  <c r="F448" i="2"/>
  <c r="G403" i="2"/>
  <c r="Q403" i="2" s="1"/>
  <c r="R403" i="2" s="1"/>
  <c r="H19" i="2"/>
  <c r="F41" i="2"/>
  <c r="F111" i="2"/>
  <c r="G128" i="2"/>
  <c r="Q128" i="2" s="1"/>
  <c r="R128" i="2" s="1"/>
  <c r="F158" i="2"/>
  <c r="H242" i="2"/>
  <c r="H287" i="2"/>
  <c r="F271" i="2"/>
  <c r="H355" i="2"/>
  <c r="G41" i="2"/>
  <c r="Q41" i="2" s="1"/>
  <c r="R41" i="2" s="1"/>
  <c r="H83" i="2"/>
  <c r="F113" i="2"/>
  <c r="G111" i="2"/>
  <c r="Q111" i="2" s="1"/>
  <c r="R111" i="2" s="1"/>
  <c r="H158" i="2"/>
  <c r="H124" i="2"/>
  <c r="F442" i="2"/>
  <c r="G113" i="2"/>
  <c r="Q113" i="2" s="1"/>
  <c r="R113" i="2" s="1"/>
  <c r="F207" i="2"/>
  <c r="G214" i="2"/>
  <c r="Q214" i="2" s="1"/>
  <c r="R214" i="2" s="1"/>
  <c r="F291" i="2"/>
  <c r="G385" i="2"/>
  <c r="Q385" i="2" s="1"/>
  <c r="R385" i="2" s="1"/>
  <c r="H385" i="2"/>
  <c r="G452" i="2"/>
  <c r="Q452" i="2" s="1"/>
  <c r="R452" i="2" s="1"/>
  <c r="F452" i="2"/>
  <c r="F429" i="2"/>
  <c r="G338" i="2"/>
  <c r="Q338" i="2" s="1"/>
  <c r="R338" i="2" s="1"/>
  <c r="F338" i="2"/>
  <c r="G422" i="2"/>
  <c r="Q422" i="2" s="1"/>
  <c r="R422" i="2" s="1"/>
  <c r="F422" i="2"/>
  <c r="H389" i="2"/>
  <c r="G389" i="2"/>
  <c r="Q389" i="2" s="1"/>
  <c r="R389" i="2" s="1"/>
  <c r="H376" i="2"/>
  <c r="G376" i="2"/>
  <c r="Q376" i="2" s="1"/>
  <c r="R376" i="2" s="1"/>
  <c r="F376" i="2"/>
  <c r="G410" i="2"/>
  <c r="Q410" i="2" s="1"/>
  <c r="R410" i="2" s="1"/>
  <c r="F410" i="2"/>
  <c r="H410" i="2"/>
  <c r="G364" i="2"/>
  <c r="Q364" i="2" s="1"/>
  <c r="R364" i="2" s="1"/>
  <c r="F364" i="2"/>
  <c r="G352" i="2"/>
  <c r="Q352" i="2" s="1"/>
  <c r="R352" i="2" s="1"/>
  <c r="H352" i="2"/>
  <c r="F46" i="2"/>
  <c r="H46" i="2"/>
  <c r="G46" i="2"/>
  <c r="Q46" i="2" s="1"/>
  <c r="R46" i="2" s="1"/>
  <c r="H194" i="2"/>
  <c r="F194" i="2"/>
  <c r="G194" i="2"/>
  <c r="Q194" i="2" s="1"/>
  <c r="R194" i="2" s="1"/>
  <c r="G442" i="2"/>
  <c r="Q442" i="2" s="1"/>
  <c r="R442" i="2" s="1"/>
  <c r="G434" i="2"/>
  <c r="Q434" i="2" s="1"/>
  <c r="R434" i="2" s="1"/>
  <c r="F434" i="2"/>
  <c r="H434" i="2"/>
  <c r="G428" i="2"/>
  <c r="Q428" i="2" s="1"/>
  <c r="R428" i="2" s="1"/>
  <c r="F428" i="2"/>
  <c r="H393" i="2"/>
  <c r="H390" i="2"/>
  <c r="G390" i="2"/>
  <c r="Q390" i="2" s="1"/>
  <c r="R390" i="2" s="1"/>
  <c r="H384" i="2"/>
  <c r="G384" i="2"/>
  <c r="Q384" i="2" s="1"/>
  <c r="R384" i="2" s="1"/>
  <c r="F384" i="2"/>
  <c r="H332" i="2"/>
  <c r="G332" i="2"/>
  <c r="Q332" i="2" s="1"/>
  <c r="R332" i="2" s="1"/>
  <c r="F332" i="2"/>
  <c r="H328" i="2"/>
  <c r="G328" i="2"/>
  <c r="Q328" i="2" s="1"/>
  <c r="R328" i="2" s="1"/>
  <c r="F328" i="2"/>
  <c r="H323" i="2"/>
  <c r="G323" i="2"/>
  <c r="Q323" i="2" s="1"/>
  <c r="R323" i="2" s="1"/>
  <c r="F323" i="2"/>
  <c r="F12" i="2"/>
  <c r="G12" i="2"/>
  <c r="Q12" i="2" s="1"/>
  <c r="R12" i="2" s="1"/>
  <c r="G441" i="2"/>
  <c r="Q441" i="2" s="1"/>
  <c r="R441" i="2" s="1"/>
  <c r="F441" i="2"/>
  <c r="H441" i="2"/>
  <c r="G430" i="2"/>
  <c r="Q430" i="2" s="1"/>
  <c r="R430" i="2" s="1"/>
  <c r="F430" i="2"/>
  <c r="H430" i="2"/>
  <c r="G427" i="2"/>
  <c r="Q427" i="2" s="1"/>
  <c r="R427" i="2" s="1"/>
  <c r="F427" i="2"/>
  <c r="F424" i="2"/>
  <c r="G424" i="2"/>
  <c r="Q424" i="2" s="1"/>
  <c r="R424" i="2" s="1"/>
  <c r="H424" i="2"/>
  <c r="H422" i="2"/>
  <c r="F402" i="2"/>
  <c r="G402" i="2"/>
  <c r="Q402" i="2" s="1"/>
  <c r="R402" i="2" s="1"/>
  <c r="H402" i="2"/>
  <c r="G382" i="2"/>
  <c r="Q382" i="2" s="1"/>
  <c r="R382" i="2" s="1"/>
  <c r="F382" i="2"/>
  <c r="H382" i="2"/>
  <c r="H118" i="2"/>
  <c r="G118" i="2"/>
  <c r="Q118" i="2" s="1"/>
  <c r="R118" i="2" s="1"/>
  <c r="F118" i="2"/>
  <c r="G260" i="2"/>
  <c r="Q260" i="2" s="1"/>
  <c r="R260" i="2" s="1"/>
  <c r="F260" i="2"/>
  <c r="G460" i="2"/>
  <c r="Q460" i="2" s="1"/>
  <c r="R460" i="2" s="1"/>
  <c r="H460" i="2"/>
  <c r="H452" i="2"/>
  <c r="G418" i="2"/>
  <c r="Q418" i="2" s="1"/>
  <c r="R418" i="2" s="1"/>
  <c r="F418" i="2"/>
  <c r="H371" i="2"/>
  <c r="G371" i="2"/>
  <c r="Q371" i="2" s="1"/>
  <c r="R371" i="2" s="1"/>
  <c r="F371" i="2"/>
  <c r="G461" i="2"/>
  <c r="Q461" i="2" s="1"/>
  <c r="R461" i="2" s="1"/>
  <c r="H461" i="2"/>
  <c r="G456" i="2"/>
  <c r="Q456" i="2" s="1"/>
  <c r="R456" i="2" s="1"/>
  <c r="F456" i="2"/>
  <c r="G451" i="2"/>
  <c r="Q451" i="2" s="1"/>
  <c r="R451" i="2" s="1"/>
  <c r="H451" i="2"/>
  <c r="H444" i="2"/>
  <c r="F444" i="2"/>
  <c r="F438" i="2"/>
  <c r="G438" i="2"/>
  <c r="Q438" i="2" s="1"/>
  <c r="R438" i="2" s="1"/>
  <c r="H438" i="2"/>
  <c r="G419" i="2"/>
  <c r="Q419" i="2" s="1"/>
  <c r="R419" i="2" s="1"/>
  <c r="F419" i="2"/>
  <c r="H419" i="2"/>
  <c r="F411" i="2"/>
  <c r="H411" i="2"/>
  <c r="H407" i="2"/>
  <c r="G407" i="2"/>
  <c r="Q407" i="2" s="1"/>
  <c r="R407" i="2" s="1"/>
  <c r="F399" i="2"/>
  <c r="H399" i="2"/>
  <c r="F389" i="2"/>
  <c r="G397" i="2"/>
  <c r="Q397" i="2" s="1"/>
  <c r="R397" i="2" s="1"/>
  <c r="F397" i="2"/>
  <c r="H397" i="2"/>
  <c r="F385" i="2"/>
  <c r="G367" i="2"/>
  <c r="Q367" i="2" s="1"/>
  <c r="R367" i="2" s="1"/>
  <c r="F367" i="2"/>
  <c r="F360" i="2"/>
  <c r="G360" i="2"/>
  <c r="Q360" i="2" s="1"/>
  <c r="R360" i="2" s="1"/>
  <c r="F13" i="2"/>
  <c r="H13" i="2"/>
  <c r="G13" i="2"/>
  <c r="Q13" i="2" s="1"/>
  <c r="R13" i="2" s="1"/>
  <c r="F37" i="2"/>
  <c r="G37" i="2"/>
  <c r="Q37" i="2" s="1"/>
  <c r="R37" i="2" s="1"/>
  <c r="F181" i="2"/>
  <c r="H181" i="2"/>
  <c r="H115" i="2"/>
  <c r="G115" i="2"/>
  <c r="Q115" i="2" s="1"/>
  <c r="R115" i="2" s="1"/>
  <c r="H213" i="2"/>
  <c r="F213" i="2"/>
  <c r="G213" i="2"/>
  <c r="Q213" i="2" s="1"/>
  <c r="R213" i="2" s="1"/>
  <c r="G238" i="2"/>
  <c r="Q238" i="2" s="1"/>
  <c r="R238" i="2" s="1"/>
  <c r="F238" i="2"/>
  <c r="H238" i="2"/>
  <c r="H292" i="2"/>
  <c r="F292" i="2"/>
  <c r="H378" i="2"/>
  <c r="G462" i="2"/>
  <c r="Q462" i="2" s="1"/>
  <c r="R462" i="2" s="1"/>
  <c r="H327" i="2"/>
  <c r="G327" i="2"/>
  <c r="Q327" i="2" s="1"/>
  <c r="R327" i="2" s="1"/>
  <c r="F327" i="2"/>
  <c r="G320" i="2"/>
  <c r="Q320" i="2" s="1"/>
  <c r="R320" i="2" s="1"/>
  <c r="F320" i="2"/>
  <c r="G316" i="2"/>
  <c r="Q316" i="2" s="1"/>
  <c r="R316" i="2" s="1"/>
  <c r="F316" i="2"/>
  <c r="H316" i="2"/>
  <c r="F304" i="2"/>
  <c r="H304" i="2"/>
  <c r="G35" i="2"/>
  <c r="Q35" i="2" s="1"/>
  <c r="R35" i="2" s="1"/>
  <c r="F35" i="2"/>
  <c r="F44" i="2"/>
  <c r="G44" i="2"/>
  <c r="Q44" i="2" s="1"/>
  <c r="R44" i="2" s="1"/>
  <c r="G191" i="2"/>
  <c r="Q191" i="2" s="1"/>
  <c r="R191" i="2" s="1"/>
  <c r="H191" i="2"/>
  <c r="H81" i="2"/>
  <c r="G81" i="2"/>
  <c r="Q81" i="2" s="1"/>
  <c r="R81" i="2" s="1"/>
  <c r="G141" i="2"/>
  <c r="Q141" i="2" s="1"/>
  <c r="R141" i="2" s="1"/>
  <c r="F141" i="2"/>
  <c r="H251" i="2"/>
  <c r="F251" i="2"/>
  <c r="G292" i="2"/>
  <c r="Q292" i="2" s="1"/>
  <c r="R292" i="2" s="1"/>
  <c r="G324" i="2"/>
  <c r="Q324" i="2" s="1"/>
  <c r="R324" i="2" s="1"/>
  <c r="F324" i="2"/>
  <c r="H324" i="2"/>
  <c r="G119" i="2"/>
  <c r="Q119" i="2" s="1"/>
  <c r="R119" i="2" s="1"/>
  <c r="H119" i="2"/>
  <c r="F119" i="2"/>
  <c r="G378" i="2"/>
  <c r="Q378" i="2" s="1"/>
  <c r="R378" i="2" s="1"/>
  <c r="F462" i="2"/>
  <c r="F359" i="2"/>
  <c r="G355" i="2"/>
  <c r="Q355" i="2" s="1"/>
  <c r="R355" i="2" s="1"/>
  <c r="F348" i="2"/>
  <c r="F312" i="2"/>
  <c r="H312" i="2"/>
  <c r="G9" i="2"/>
  <c r="Q9" i="2" s="1"/>
  <c r="R9" i="2" s="1"/>
  <c r="F9" i="2"/>
  <c r="H37" i="2"/>
  <c r="F54" i="2"/>
  <c r="G54" i="2"/>
  <c r="Q54" i="2" s="1"/>
  <c r="R54" i="2" s="1"/>
  <c r="H54" i="2"/>
  <c r="G30" i="2"/>
  <c r="Q30" i="2" s="1"/>
  <c r="R30" i="2" s="1"/>
  <c r="F30" i="2"/>
  <c r="G150" i="2"/>
  <c r="Q150" i="2" s="1"/>
  <c r="R150" i="2" s="1"/>
  <c r="F150" i="2"/>
  <c r="F110" i="2"/>
  <c r="G110" i="2"/>
  <c r="Q110" i="2" s="1"/>
  <c r="R110" i="2" s="1"/>
  <c r="F108" i="2"/>
  <c r="G108" i="2"/>
  <c r="Q108" i="2" s="1"/>
  <c r="R108" i="2" s="1"/>
  <c r="H108" i="2"/>
  <c r="H142" i="2"/>
  <c r="F142" i="2"/>
  <c r="H254" i="2"/>
  <c r="G254" i="2"/>
  <c r="Q254" i="2" s="1"/>
  <c r="R254" i="2" s="1"/>
  <c r="G216" i="2"/>
  <c r="Q216" i="2" s="1"/>
  <c r="R216" i="2" s="1"/>
  <c r="H216" i="2"/>
  <c r="F216" i="2"/>
  <c r="G247" i="2"/>
  <c r="Q247" i="2" s="1"/>
  <c r="R247" i="2" s="1"/>
  <c r="H247" i="2"/>
  <c r="G295" i="2"/>
  <c r="Q295" i="2" s="1"/>
  <c r="R295" i="2" s="1"/>
  <c r="F295" i="2"/>
  <c r="F49" i="2"/>
  <c r="H71" i="2"/>
  <c r="H125" i="2"/>
  <c r="H290" i="2"/>
  <c r="H300" i="2"/>
  <c r="F454" i="2"/>
  <c r="H454" i="2"/>
  <c r="G454" i="2"/>
  <c r="Q454" i="2" s="1"/>
  <c r="R454" i="2" s="1"/>
  <c r="F383" i="2"/>
  <c r="H383" i="2"/>
  <c r="G383" i="2"/>
  <c r="Q383" i="2" s="1"/>
  <c r="R383" i="2" s="1"/>
  <c r="H369" i="2"/>
  <c r="F369" i="2"/>
  <c r="H366" i="2"/>
  <c r="G366" i="2"/>
  <c r="Q366" i="2" s="1"/>
  <c r="R366" i="2" s="1"/>
  <c r="F366" i="2"/>
  <c r="F363" i="2"/>
  <c r="G363" i="2"/>
  <c r="Q363" i="2" s="1"/>
  <c r="R363" i="2" s="1"/>
  <c r="H363" i="2"/>
  <c r="G353" i="2"/>
  <c r="Q353" i="2" s="1"/>
  <c r="R353" i="2" s="1"/>
  <c r="H353" i="2"/>
  <c r="G350" i="2"/>
  <c r="Q350" i="2" s="1"/>
  <c r="R350" i="2" s="1"/>
  <c r="H350" i="2"/>
  <c r="H347" i="2"/>
  <c r="G347" i="2"/>
  <c r="Q347" i="2" s="1"/>
  <c r="R347" i="2" s="1"/>
  <c r="F347" i="2"/>
  <c r="F17" i="2"/>
  <c r="G17" i="2"/>
  <c r="Q17" i="2" s="1"/>
  <c r="R17" i="2" s="1"/>
  <c r="H17" i="2"/>
  <c r="F459" i="2"/>
  <c r="G449" i="2"/>
  <c r="Q449" i="2" s="1"/>
  <c r="R449" i="2" s="1"/>
  <c r="H449" i="2"/>
  <c r="F449" i="2"/>
  <c r="H446" i="2"/>
  <c r="F446" i="2"/>
  <c r="F443" i="2"/>
  <c r="G443" i="2"/>
  <c r="Q443" i="2" s="1"/>
  <c r="R443" i="2" s="1"/>
  <c r="H443" i="2"/>
  <c r="G420" i="2"/>
  <c r="Q420" i="2" s="1"/>
  <c r="R420" i="2" s="1"/>
  <c r="F420" i="2"/>
  <c r="H417" i="2"/>
  <c r="G417" i="2"/>
  <c r="Q417" i="2" s="1"/>
  <c r="R417" i="2" s="1"/>
  <c r="F417" i="2"/>
  <c r="G412" i="2"/>
  <c r="Q412" i="2" s="1"/>
  <c r="R412" i="2" s="1"/>
  <c r="F412" i="2"/>
  <c r="H412" i="2"/>
  <c r="G404" i="2"/>
  <c r="Q404" i="2" s="1"/>
  <c r="R404" i="2" s="1"/>
  <c r="F404" i="2"/>
  <c r="F401" i="2"/>
  <c r="H401" i="2"/>
  <c r="G401" i="2"/>
  <c r="Q401" i="2" s="1"/>
  <c r="R401" i="2" s="1"/>
  <c r="G398" i="2"/>
  <c r="Q398" i="2" s="1"/>
  <c r="R398" i="2" s="1"/>
  <c r="H398" i="2"/>
  <c r="F398" i="2"/>
  <c r="G396" i="2"/>
  <c r="Q396" i="2" s="1"/>
  <c r="R396" i="2" s="1"/>
  <c r="H396" i="2"/>
  <c r="F461" i="2"/>
  <c r="H459" i="2"/>
  <c r="H450" i="2"/>
  <c r="F450" i="2"/>
  <c r="G450" i="2"/>
  <c r="Q450" i="2" s="1"/>
  <c r="R450" i="2" s="1"/>
  <c r="F447" i="2"/>
  <c r="H447" i="2"/>
  <c r="H427" i="2"/>
  <c r="G421" i="2"/>
  <c r="Q421" i="2" s="1"/>
  <c r="R421" i="2" s="1"/>
  <c r="F421" i="2"/>
  <c r="H421" i="2"/>
  <c r="F396" i="2"/>
  <c r="G391" i="2"/>
  <c r="Q391" i="2" s="1"/>
  <c r="R391" i="2" s="1"/>
  <c r="F391" i="2"/>
  <c r="H391" i="2"/>
  <c r="G381" i="2"/>
  <c r="Q381" i="2" s="1"/>
  <c r="R381" i="2" s="1"/>
  <c r="F381" i="2"/>
  <c r="H381" i="2"/>
  <c r="F380" i="2"/>
  <c r="G380" i="2"/>
  <c r="Q380" i="2" s="1"/>
  <c r="R380" i="2" s="1"/>
  <c r="H380" i="2"/>
  <c r="H342" i="2"/>
  <c r="G342" i="2"/>
  <c r="Q342" i="2" s="1"/>
  <c r="R342" i="2" s="1"/>
  <c r="F342" i="2"/>
  <c r="G330" i="2"/>
  <c r="Q330" i="2" s="1"/>
  <c r="R330" i="2" s="1"/>
  <c r="F330" i="2"/>
  <c r="H330" i="2"/>
  <c r="F318" i="2"/>
  <c r="H318" i="2"/>
  <c r="G318" i="2"/>
  <c r="Q318" i="2" s="1"/>
  <c r="R318" i="2" s="1"/>
  <c r="G131" i="2"/>
  <c r="Q131" i="2" s="1"/>
  <c r="R131" i="2" s="1"/>
  <c r="H131" i="2"/>
  <c r="F131" i="2"/>
  <c r="G458" i="2"/>
  <c r="Q458" i="2" s="1"/>
  <c r="R458" i="2" s="1"/>
  <c r="F458" i="2"/>
  <c r="G455" i="2"/>
  <c r="Q455" i="2" s="1"/>
  <c r="R455" i="2" s="1"/>
  <c r="H455" i="2"/>
  <c r="H432" i="2"/>
  <c r="F432" i="2"/>
  <c r="H429" i="2"/>
  <c r="G372" i="2"/>
  <c r="Q372" i="2" s="1"/>
  <c r="R372" i="2" s="1"/>
  <c r="F372" i="2"/>
  <c r="H372" i="2"/>
  <c r="G97" i="2"/>
  <c r="Q97" i="2" s="1"/>
  <c r="R97" i="2" s="1"/>
  <c r="F97" i="2"/>
  <c r="H97" i="2"/>
  <c r="F440" i="2"/>
  <c r="G440" i="2"/>
  <c r="Q440" i="2" s="1"/>
  <c r="R440" i="2" s="1"/>
  <c r="H440" i="2"/>
  <c r="G433" i="2"/>
  <c r="Q433" i="2" s="1"/>
  <c r="R433" i="2" s="1"/>
  <c r="F433" i="2"/>
  <c r="F426" i="2"/>
  <c r="G426" i="2"/>
  <c r="Q426" i="2" s="1"/>
  <c r="R426" i="2" s="1"/>
  <c r="H426" i="2"/>
  <c r="G423" i="2"/>
  <c r="Q423" i="2" s="1"/>
  <c r="R423" i="2" s="1"/>
  <c r="F423" i="2"/>
  <c r="F416" i="2"/>
  <c r="H416" i="2"/>
  <c r="H409" i="2"/>
  <c r="G409" i="2"/>
  <c r="Q409" i="2" s="1"/>
  <c r="R409" i="2" s="1"/>
  <c r="F409" i="2"/>
  <c r="F395" i="2"/>
  <c r="G395" i="2"/>
  <c r="Q395" i="2" s="1"/>
  <c r="R395" i="2" s="1"/>
  <c r="H395" i="2"/>
  <c r="H362" i="2"/>
  <c r="F362" i="2"/>
  <c r="G362" i="2"/>
  <c r="Q362" i="2" s="1"/>
  <c r="R362" i="2" s="1"/>
  <c r="G361" i="2"/>
  <c r="Q361" i="2" s="1"/>
  <c r="R361" i="2" s="1"/>
  <c r="H361" i="2"/>
  <c r="F361" i="2"/>
  <c r="G358" i="2"/>
  <c r="Q358" i="2" s="1"/>
  <c r="R358" i="2" s="1"/>
  <c r="H358" i="2"/>
  <c r="F356" i="2"/>
  <c r="H356" i="2"/>
  <c r="F346" i="2"/>
  <c r="G346" i="2"/>
  <c r="Q346" i="2" s="1"/>
  <c r="R346" i="2" s="1"/>
  <c r="H346" i="2"/>
  <c r="G334" i="2"/>
  <c r="Q334" i="2" s="1"/>
  <c r="R334" i="2" s="1"/>
  <c r="F334" i="2"/>
  <c r="H334" i="2"/>
  <c r="G314" i="2"/>
  <c r="Q314" i="2" s="1"/>
  <c r="R314" i="2" s="1"/>
  <c r="H314" i="2"/>
  <c r="F314" i="2"/>
  <c r="G302" i="2"/>
  <c r="Q302" i="2" s="1"/>
  <c r="R302" i="2" s="1"/>
  <c r="F302" i="2"/>
  <c r="H302" i="2"/>
  <c r="F335" i="2"/>
  <c r="H335" i="2"/>
  <c r="G322" i="2"/>
  <c r="Q322" i="2" s="1"/>
  <c r="R322" i="2" s="1"/>
  <c r="F322" i="2"/>
  <c r="G306" i="2"/>
  <c r="Q306" i="2" s="1"/>
  <c r="R306" i="2" s="1"/>
  <c r="F306" i="2"/>
  <c r="G303" i="2"/>
  <c r="Q303" i="2" s="1"/>
  <c r="R303" i="2" s="1"/>
  <c r="F303" i="2"/>
  <c r="H14" i="2"/>
  <c r="G14" i="2"/>
  <c r="Q14" i="2" s="1"/>
  <c r="R14" i="2" s="1"/>
  <c r="G8" i="2"/>
  <c r="Q8" i="2" s="1"/>
  <c r="R8" i="2" s="1"/>
  <c r="H8" i="2"/>
  <c r="F8" i="2"/>
  <c r="H70" i="2"/>
  <c r="G70" i="2"/>
  <c r="Q70" i="2" s="1"/>
  <c r="R70" i="2" s="1"/>
  <c r="F52" i="2"/>
  <c r="G52" i="2"/>
  <c r="Q52" i="2" s="1"/>
  <c r="R52" i="2" s="1"/>
  <c r="H52" i="2"/>
  <c r="G31" i="2"/>
  <c r="Q31" i="2" s="1"/>
  <c r="R31" i="2" s="1"/>
  <c r="H31" i="2"/>
  <c r="F31" i="2"/>
  <c r="F28" i="2"/>
  <c r="G28" i="2"/>
  <c r="Q28" i="2" s="1"/>
  <c r="R28" i="2" s="1"/>
  <c r="H28" i="2"/>
  <c r="G51" i="2"/>
  <c r="Q51" i="2" s="1"/>
  <c r="R51" i="2" s="1"/>
  <c r="F51" i="2"/>
  <c r="H51" i="2"/>
  <c r="F26" i="2"/>
  <c r="G26" i="2"/>
  <c r="Q26" i="2" s="1"/>
  <c r="R26" i="2" s="1"/>
  <c r="F87" i="2"/>
  <c r="H87" i="2"/>
  <c r="G87" i="2"/>
  <c r="Q87" i="2" s="1"/>
  <c r="R87" i="2" s="1"/>
  <c r="H84" i="2"/>
  <c r="G84" i="2"/>
  <c r="Q84" i="2" s="1"/>
  <c r="R84" i="2" s="1"/>
  <c r="G98" i="2"/>
  <c r="Q98" i="2" s="1"/>
  <c r="R98" i="2" s="1"/>
  <c r="F98" i="2"/>
  <c r="H98" i="2"/>
  <c r="G120" i="2"/>
  <c r="Q120" i="2" s="1"/>
  <c r="R120" i="2" s="1"/>
  <c r="F120" i="2"/>
  <c r="G132" i="2"/>
  <c r="Q132" i="2" s="1"/>
  <c r="R132" i="2" s="1"/>
  <c r="H132" i="2"/>
  <c r="F79" i="2"/>
  <c r="G79" i="2"/>
  <c r="Q79" i="2" s="1"/>
  <c r="R79" i="2" s="1"/>
  <c r="H79" i="2"/>
  <c r="F77" i="2"/>
  <c r="H77" i="2"/>
  <c r="G263" i="2"/>
  <c r="Q263" i="2" s="1"/>
  <c r="R263" i="2" s="1"/>
  <c r="F263" i="2"/>
  <c r="H263" i="2"/>
  <c r="H280" i="2"/>
  <c r="F280" i="2"/>
  <c r="G280" i="2"/>
  <c r="Q280" i="2" s="1"/>
  <c r="R280" i="2" s="1"/>
  <c r="H274" i="2"/>
  <c r="F274" i="2"/>
  <c r="G274" i="2"/>
  <c r="Q274" i="2" s="1"/>
  <c r="R274" i="2" s="1"/>
  <c r="H272" i="2"/>
  <c r="F272" i="2"/>
  <c r="G272" i="2"/>
  <c r="Q272" i="2" s="1"/>
  <c r="R272" i="2" s="1"/>
  <c r="G325" i="2"/>
  <c r="Q325" i="2" s="1"/>
  <c r="R325" i="2" s="1"/>
  <c r="F325" i="2"/>
  <c r="H439" i="2"/>
  <c r="F439" i="2"/>
  <c r="G436" i="2"/>
  <c r="Q436" i="2" s="1"/>
  <c r="R436" i="2" s="1"/>
  <c r="F436" i="2"/>
  <c r="F431" i="2"/>
  <c r="H431" i="2"/>
  <c r="F415" i="2"/>
  <c r="H415" i="2"/>
  <c r="G413" i="2"/>
  <c r="Q413" i="2" s="1"/>
  <c r="R413" i="2" s="1"/>
  <c r="H413" i="2"/>
  <c r="F408" i="2"/>
  <c r="H408" i="2"/>
  <c r="G405" i="2"/>
  <c r="Q405" i="2" s="1"/>
  <c r="R405" i="2" s="1"/>
  <c r="F405" i="2"/>
  <c r="G393" i="2"/>
  <c r="Q393" i="2" s="1"/>
  <c r="R393" i="2" s="1"/>
  <c r="H387" i="2"/>
  <c r="F387" i="2"/>
  <c r="G374" i="2"/>
  <c r="Q374" i="2" s="1"/>
  <c r="R374" i="2" s="1"/>
  <c r="F374" i="2"/>
  <c r="F370" i="2"/>
  <c r="H370" i="2"/>
  <c r="F368" i="2"/>
  <c r="H368" i="2"/>
  <c r="G365" i="2"/>
  <c r="Q365" i="2" s="1"/>
  <c r="R365" i="2" s="1"/>
  <c r="H349" i="2"/>
  <c r="G354" i="2"/>
  <c r="Q354" i="2" s="1"/>
  <c r="R354" i="2" s="1"/>
  <c r="F354" i="2"/>
  <c r="F351" i="2"/>
  <c r="H351" i="2"/>
  <c r="H337" i="2"/>
  <c r="G337" i="2"/>
  <c r="Q337" i="2" s="1"/>
  <c r="R337" i="2" s="1"/>
  <c r="F337" i="2"/>
  <c r="G335" i="2"/>
  <c r="Q335" i="2" s="1"/>
  <c r="R335" i="2" s="1"/>
  <c r="H325" i="2"/>
  <c r="H309" i="2"/>
  <c r="F326" i="2"/>
  <c r="H326" i="2"/>
  <c r="G310" i="2"/>
  <c r="Q310" i="2" s="1"/>
  <c r="R310" i="2" s="1"/>
  <c r="F310" i="2"/>
  <c r="F307" i="2"/>
  <c r="H307" i="2"/>
  <c r="F14" i="2"/>
  <c r="F70" i="2"/>
  <c r="F36" i="2"/>
  <c r="G36" i="2"/>
  <c r="Q36" i="2" s="1"/>
  <c r="R36" i="2" s="1"/>
  <c r="H36" i="2"/>
  <c r="F33" i="2"/>
  <c r="H33" i="2"/>
  <c r="H53" i="2"/>
  <c r="G53" i="2"/>
  <c r="Q53" i="2" s="1"/>
  <c r="R53" i="2" s="1"/>
  <c r="H26" i="2"/>
  <c r="H23" i="2"/>
  <c r="H29" i="2"/>
  <c r="F29" i="2"/>
  <c r="G11" i="2"/>
  <c r="Q11" i="2" s="1"/>
  <c r="R11" i="2" s="1"/>
  <c r="H11" i="2"/>
  <c r="F11" i="2"/>
  <c r="H457" i="2"/>
  <c r="H453" i="2"/>
  <c r="F453" i="2"/>
  <c r="G445" i="2"/>
  <c r="Q445" i="2" s="1"/>
  <c r="R445" i="2" s="1"/>
  <c r="H445" i="2"/>
  <c r="F437" i="2"/>
  <c r="H437" i="2"/>
  <c r="F435" i="2"/>
  <c r="H435" i="2"/>
  <c r="F425" i="2"/>
  <c r="H425" i="2"/>
  <c r="F414" i="2"/>
  <c r="H414" i="2"/>
  <c r="H405" i="2"/>
  <c r="G406" i="2"/>
  <c r="Q406" i="2" s="1"/>
  <c r="R406" i="2" s="1"/>
  <c r="F406" i="2"/>
  <c r="F388" i="2"/>
  <c r="H388" i="2"/>
  <c r="G379" i="2"/>
  <c r="Q379" i="2" s="1"/>
  <c r="R379" i="2" s="1"/>
  <c r="G377" i="2"/>
  <c r="Q377" i="2" s="1"/>
  <c r="R377" i="2" s="1"/>
  <c r="F377" i="2"/>
  <c r="G370" i="2"/>
  <c r="Q370" i="2" s="1"/>
  <c r="R370" i="2" s="1"/>
  <c r="F375" i="2"/>
  <c r="H375" i="2"/>
  <c r="H359" i="2"/>
  <c r="H354" i="2"/>
  <c r="F349" i="2"/>
  <c r="G341" i="2"/>
  <c r="Q341" i="2" s="1"/>
  <c r="R341" i="2" s="1"/>
  <c r="H338" i="2"/>
  <c r="G339" i="2"/>
  <c r="Q339" i="2" s="1"/>
  <c r="R339" i="2" s="1"/>
  <c r="F339" i="2"/>
  <c r="F319" i="2"/>
  <c r="F309" i="2"/>
  <c r="F317" i="2"/>
  <c r="H317" i="2"/>
  <c r="F311" i="2"/>
  <c r="H311" i="2"/>
  <c r="F20" i="2"/>
  <c r="H20" i="2"/>
  <c r="F23" i="2"/>
  <c r="F22" i="2"/>
  <c r="H22" i="2"/>
  <c r="G45" i="2"/>
  <c r="Q45" i="2" s="1"/>
  <c r="R45" i="2" s="1"/>
  <c r="H45" i="2"/>
  <c r="F42" i="2"/>
  <c r="G42" i="2"/>
  <c r="Q42" i="2" s="1"/>
  <c r="R42" i="2" s="1"/>
  <c r="H42" i="2"/>
  <c r="F38" i="2"/>
  <c r="H38" i="2"/>
  <c r="F132" i="2"/>
  <c r="H134" i="2"/>
  <c r="F134" i="2"/>
  <c r="G134" i="2"/>
  <c r="Q134" i="2" s="1"/>
  <c r="R134" i="2" s="1"/>
  <c r="H156" i="2"/>
  <c r="F156" i="2"/>
  <c r="G156" i="2"/>
  <c r="Q156" i="2" s="1"/>
  <c r="R156" i="2" s="1"/>
  <c r="H184" i="2"/>
  <c r="F184" i="2"/>
  <c r="G184" i="2"/>
  <c r="Q184" i="2" s="1"/>
  <c r="R184" i="2" s="1"/>
  <c r="G400" i="2"/>
  <c r="Q400" i="2" s="1"/>
  <c r="R400" i="2" s="1"/>
  <c r="F400" i="2"/>
  <c r="G392" i="2"/>
  <c r="Q392" i="2" s="1"/>
  <c r="R392" i="2" s="1"/>
  <c r="F392" i="2"/>
  <c r="F357" i="2"/>
  <c r="G357" i="2"/>
  <c r="Q357" i="2" s="1"/>
  <c r="R357" i="2" s="1"/>
  <c r="H357" i="2"/>
  <c r="G343" i="2"/>
  <c r="Q343" i="2" s="1"/>
  <c r="R343" i="2" s="1"/>
  <c r="H343" i="2"/>
  <c r="G319" i="2"/>
  <c r="Q319" i="2" s="1"/>
  <c r="R319" i="2" s="1"/>
  <c r="H306" i="2"/>
  <c r="H303" i="2"/>
  <c r="F331" i="2"/>
  <c r="H331" i="2"/>
  <c r="G321" i="2"/>
  <c r="Q321" i="2" s="1"/>
  <c r="R321" i="2" s="1"/>
  <c r="F321" i="2"/>
  <c r="G315" i="2"/>
  <c r="Q315" i="2" s="1"/>
  <c r="R315" i="2" s="1"/>
  <c r="F315" i="2"/>
  <c r="G305" i="2"/>
  <c r="Q305" i="2" s="1"/>
  <c r="R305" i="2" s="1"/>
  <c r="F305" i="2"/>
  <c r="F18" i="2"/>
  <c r="G18" i="2"/>
  <c r="Q18" i="2" s="1"/>
  <c r="R18" i="2" s="1"/>
  <c r="H18" i="2"/>
  <c r="G15" i="2"/>
  <c r="Q15" i="2" s="1"/>
  <c r="R15" i="2" s="1"/>
  <c r="H15" i="2"/>
  <c r="F10" i="2"/>
  <c r="H10" i="2"/>
  <c r="E7" i="2"/>
  <c r="G47" i="2"/>
  <c r="Q47" i="2" s="1"/>
  <c r="R47" i="2" s="1"/>
  <c r="H47" i="2"/>
  <c r="H25" i="2"/>
  <c r="G25" i="2"/>
  <c r="Q25" i="2" s="1"/>
  <c r="R25" i="2" s="1"/>
  <c r="F25" i="2"/>
  <c r="F43" i="2"/>
  <c r="G43" i="2"/>
  <c r="Q43" i="2" s="1"/>
  <c r="R43" i="2" s="1"/>
  <c r="F84" i="2"/>
  <c r="G117" i="2"/>
  <c r="Q117" i="2" s="1"/>
  <c r="R117" i="2" s="1"/>
  <c r="G148" i="2"/>
  <c r="Q148" i="2" s="1"/>
  <c r="R148" i="2" s="1"/>
  <c r="F163" i="2"/>
  <c r="H163" i="2"/>
  <c r="G163" i="2"/>
  <c r="Q163" i="2" s="1"/>
  <c r="R163" i="2" s="1"/>
  <c r="H88" i="2"/>
  <c r="F88" i="2"/>
  <c r="G88" i="2"/>
  <c r="Q88" i="2" s="1"/>
  <c r="R88" i="2" s="1"/>
  <c r="G178" i="2"/>
  <c r="Q178" i="2" s="1"/>
  <c r="R178" i="2" s="1"/>
  <c r="F178" i="2"/>
  <c r="H178" i="2"/>
  <c r="F176" i="2"/>
  <c r="H176" i="2"/>
  <c r="G173" i="2"/>
  <c r="Q173" i="2" s="1"/>
  <c r="R173" i="2" s="1"/>
  <c r="H173" i="2"/>
  <c r="G189" i="2"/>
  <c r="Q189" i="2" s="1"/>
  <c r="R189" i="2" s="1"/>
  <c r="F189" i="2"/>
  <c r="H189" i="2"/>
  <c r="H74" i="2"/>
  <c r="F74" i="2"/>
  <c r="G74" i="2"/>
  <c r="Q74" i="2" s="1"/>
  <c r="R74" i="2" s="1"/>
  <c r="H94" i="2"/>
  <c r="F94" i="2"/>
  <c r="G94" i="2"/>
  <c r="Q94" i="2" s="1"/>
  <c r="R94" i="2" s="1"/>
  <c r="F123" i="2"/>
  <c r="H123" i="2"/>
  <c r="G123" i="2"/>
  <c r="Q123" i="2" s="1"/>
  <c r="R123" i="2" s="1"/>
  <c r="H145" i="2"/>
  <c r="F145" i="2"/>
  <c r="G145" i="2"/>
  <c r="Q145" i="2" s="1"/>
  <c r="R145" i="2" s="1"/>
  <c r="H143" i="2"/>
  <c r="F143" i="2"/>
  <c r="G143" i="2"/>
  <c r="Q143" i="2" s="1"/>
  <c r="R143" i="2" s="1"/>
  <c r="H139" i="2"/>
  <c r="F139" i="2"/>
  <c r="G139" i="2"/>
  <c r="Q139" i="2" s="1"/>
  <c r="R139" i="2" s="1"/>
  <c r="H137" i="2"/>
  <c r="F137" i="2"/>
  <c r="G137" i="2"/>
  <c r="Q137" i="2" s="1"/>
  <c r="R137" i="2" s="1"/>
  <c r="G135" i="2"/>
  <c r="Q135" i="2" s="1"/>
  <c r="R135" i="2" s="1"/>
  <c r="F135" i="2"/>
  <c r="H135" i="2"/>
  <c r="G169" i="2"/>
  <c r="Q169" i="2" s="1"/>
  <c r="R169" i="2" s="1"/>
  <c r="F169" i="2"/>
  <c r="H169" i="2"/>
  <c r="F187" i="2"/>
  <c r="G187" i="2"/>
  <c r="Q187" i="2" s="1"/>
  <c r="R187" i="2" s="1"/>
  <c r="H185" i="2"/>
  <c r="F185" i="2"/>
  <c r="H193" i="2"/>
  <c r="F193" i="2"/>
  <c r="G193" i="2"/>
  <c r="Q193" i="2" s="1"/>
  <c r="R193" i="2" s="1"/>
  <c r="H154" i="2"/>
  <c r="F154" i="2"/>
  <c r="G154" i="2"/>
  <c r="Q154" i="2" s="1"/>
  <c r="R154" i="2" s="1"/>
  <c r="H236" i="2"/>
  <c r="F236" i="2"/>
  <c r="F283" i="2"/>
  <c r="H283" i="2"/>
  <c r="G283" i="2"/>
  <c r="Q283" i="2" s="1"/>
  <c r="R283" i="2" s="1"/>
  <c r="H151" i="2"/>
  <c r="F151" i="2"/>
  <c r="G151" i="2"/>
  <c r="Q151" i="2" s="1"/>
  <c r="R151" i="2" s="1"/>
  <c r="H182" i="2"/>
  <c r="F182" i="2"/>
  <c r="G182" i="2"/>
  <c r="Q182" i="2" s="1"/>
  <c r="R182" i="2" s="1"/>
  <c r="G147" i="2"/>
  <c r="Q147" i="2" s="1"/>
  <c r="R147" i="2" s="1"/>
  <c r="H147" i="2"/>
  <c r="F147" i="2"/>
  <c r="H162" i="2"/>
  <c r="F162" i="2"/>
  <c r="G159" i="2"/>
  <c r="Q159" i="2" s="1"/>
  <c r="R159" i="2" s="1"/>
  <c r="F159" i="2"/>
  <c r="H159" i="2"/>
  <c r="G179" i="2"/>
  <c r="Q179" i="2" s="1"/>
  <c r="R179" i="2" s="1"/>
  <c r="H179" i="2"/>
  <c r="G95" i="2"/>
  <c r="Q95" i="2" s="1"/>
  <c r="R95" i="2" s="1"/>
  <c r="F95" i="2"/>
  <c r="G34" i="2"/>
  <c r="Q34" i="2" s="1"/>
  <c r="R34" i="2" s="1"/>
  <c r="F34" i="2"/>
  <c r="F32" i="2"/>
  <c r="G32" i="2"/>
  <c r="Q32" i="2" s="1"/>
  <c r="R32" i="2" s="1"/>
  <c r="H32" i="2"/>
  <c r="G27" i="2"/>
  <c r="Q27" i="2" s="1"/>
  <c r="R27" i="2" s="1"/>
  <c r="H27" i="2"/>
  <c r="F48" i="2"/>
  <c r="G48" i="2"/>
  <c r="Q48" i="2" s="1"/>
  <c r="R48" i="2" s="1"/>
  <c r="H48" i="2"/>
  <c r="G24" i="2"/>
  <c r="Q24" i="2" s="1"/>
  <c r="R24" i="2" s="1"/>
  <c r="H24" i="2"/>
  <c r="F21" i="2"/>
  <c r="G21" i="2"/>
  <c r="Q21" i="2" s="1"/>
  <c r="R21" i="2" s="1"/>
  <c r="H21" i="2"/>
  <c r="F191" i="2"/>
  <c r="H85" i="2"/>
  <c r="F85" i="2"/>
  <c r="G85" i="2"/>
  <c r="Q85" i="2" s="1"/>
  <c r="R85" i="2" s="1"/>
  <c r="H180" i="2"/>
  <c r="F180" i="2"/>
  <c r="G162" i="2"/>
  <c r="Q162" i="2" s="1"/>
  <c r="R162" i="2" s="1"/>
  <c r="H174" i="2"/>
  <c r="F129" i="2"/>
  <c r="G129" i="2"/>
  <c r="Q129" i="2" s="1"/>
  <c r="R129" i="2" s="1"/>
  <c r="F127" i="2"/>
  <c r="G127" i="2"/>
  <c r="Q127" i="2" s="1"/>
  <c r="R127" i="2" s="1"/>
  <c r="H127" i="2"/>
  <c r="H160" i="2"/>
  <c r="G160" i="2"/>
  <c r="Q160" i="2" s="1"/>
  <c r="R160" i="2" s="1"/>
  <c r="F160" i="2"/>
  <c r="H75" i="2"/>
  <c r="F75" i="2"/>
  <c r="H73" i="2"/>
  <c r="F73" i="2"/>
  <c r="G73" i="2"/>
  <c r="Q73" i="2" s="1"/>
  <c r="R73" i="2" s="1"/>
  <c r="H92" i="2"/>
  <c r="F92" i="2"/>
  <c r="G92" i="2"/>
  <c r="Q92" i="2" s="1"/>
  <c r="R92" i="2" s="1"/>
  <c r="G90" i="2"/>
  <c r="Q90" i="2" s="1"/>
  <c r="R90" i="2" s="1"/>
  <c r="H90" i="2"/>
  <c r="G106" i="2"/>
  <c r="Q106" i="2" s="1"/>
  <c r="R106" i="2" s="1"/>
  <c r="F106" i="2"/>
  <c r="G101" i="2"/>
  <c r="Q101" i="2" s="1"/>
  <c r="R101" i="2" s="1"/>
  <c r="F101" i="2"/>
  <c r="H99" i="2"/>
  <c r="F99" i="2"/>
  <c r="G99" i="2"/>
  <c r="Q99" i="2" s="1"/>
  <c r="R99" i="2" s="1"/>
  <c r="H157" i="2"/>
  <c r="F157" i="2"/>
  <c r="H155" i="2"/>
  <c r="F155" i="2"/>
  <c r="G155" i="2"/>
  <c r="Q155" i="2" s="1"/>
  <c r="R155" i="2" s="1"/>
  <c r="F188" i="2"/>
  <c r="G188" i="2"/>
  <c r="Q188" i="2" s="1"/>
  <c r="R188" i="2" s="1"/>
  <c r="H188" i="2"/>
  <c r="H208" i="2"/>
  <c r="G208" i="2"/>
  <c r="Q208" i="2" s="1"/>
  <c r="R208" i="2" s="1"/>
  <c r="H220" i="2"/>
  <c r="G220" i="2"/>
  <c r="Q220" i="2" s="1"/>
  <c r="R220" i="2" s="1"/>
  <c r="F220" i="2"/>
  <c r="H237" i="2"/>
  <c r="F237" i="2"/>
  <c r="H234" i="2"/>
  <c r="F234" i="2"/>
  <c r="G234" i="2"/>
  <c r="Q234" i="2" s="1"/>
  <c r="R234" i="2" s="1"/>
  <c r="H253" i="2"/>
  <c r="F253" i="2"/>
  <c r="G253" i="2"/>
  <c r="Q253" i="2" s="1"/>
  <c r="R253" i="2" s="1"/>
  <c r="G228" i="2"/>
  <c r="Q228" i="2" s="1"/>
  <c r="R228" i="2" s="1"/>
  <c r="H228" i="2"/>
  <c r="H245" i="2"/>
  <c r="F245" i="2"/>
  <c r="G245" i="2"/>
  <c r="Q245" i="2" s="1"/>
  <c r="R245" i="2" s="1"/>
  <c r="H243" i="2"/>
  <c r="G243" i="2"/>
  <c r="Q243" i="2" s="1"/>
  <c r="R243" i="2" s="1"/>
  <c r="F243" i="2"/>
  <c r="H289" i="2"/>
  <c r="G289" i="2"/>
  <c r="Q289" i="2" s="1"/>
  <c r="R289" i="2" s="1"/>
  <c r="F289" i="2"/>
  <c r="G286" i="2"/>
  <c r="Q286" i="2" s="1"/>
  <c r="R286" i="2" s="1"/>
  <c r="H286" i="2"/>
  <c r="G301" i="2"/>
  <c r="Q301" i="2" s="1"/>
  <c r="R301" i="2" s="1"/>
  <c r="F301" i="2"/>
  <c r="H301" i="2"/>
  <c r="H164" i="2"/>
  <c r="F164" i="2"/>
  <c r="H82" i="2"/>
  <c r="G82" i="2"/>
  <c r="Q82" i="2" s="1"/>
  <c r="R82" i="2" s="1"/>
  <c r="G121" i="2"/>
  <c r="Q121" i="2" s="1"/>
  <c r="R121" i="2" s="1"/>
  <c r="F121" i="2"/>
  <c r="G140" i="2"/>
  <c r="Q140" i="2" s="1"/>
  <c r="R140" i="2" s="1"/>
  <c r="F140" i="2"/>
  <c r="H170" i="2"/>
  <c r="F170" i="2"/>
  <c r="G170" i="2"/>
  <c r="Q170" i="2" s="1"/>
  <c r="R170" i="2" s="1"/>
  <c r="H167" i="2"/>
  <c r="F167" i="2"/>
  <c r="G167" i="2"/>
  <c r="Q167" i="2" s="1"/>
  <c r="R167" i="2" s="1"/>
  <c r="H210" i="2"/>
  <c r="G210" i="2"/>
  <c r="Q210" i="2" s="1"/>
  <c r="R210" i="2" s="1"/>
  <c r="H252" i="2"/>
  <c r="F252" i="2"/>
  <c r="G252" i="2"/>
  <c r="Q252" i="2" s="1"/>
  <c r="R252" i="2" s="1"/>
  <c r="H250" i="2"/>
  <c r="G250" i="2"/>
  <c r="Q250" i="2" s="1"/>
  <c r="R250" i="2" s="1"/>
  <c r="H202" i="2"/>
  <c r="F202" i="2"/>
  <c r="G202" i="2"/>
  <c r="Q202" i="2" s="1"/>
  <c r="R202" i="2" s="1"/>
  <c r="H261" i="2"/>
  <c r="F261" i="2"/>
  <c r="G261" i="2"/>
  <c r="Q261" i="2" s="1"/>
  <c r="R261" i="2" s="1"/>
  <c r="G296" i="2"/>
  <c r="Q296" i="2" s="1"/>
  <c r="R296" i="2" s="1"/>
  <c r="F296" i="2"/>
  <c r="H258" i="2"/>
  <c r="G258" i="2"/>
  <c r="Q258" i="2" s="1"/>
  <c r="R258" i="2" s="1"/>
  <c r="F258" i="2"/>
  <c r="G256" i="2"/>
  <c r="Q256" i="2" s="1"/>
  <c r="R256" i="2" s="1"/>
  <c r="H256" i="2"/>
  <c r="F256" i="2"/>
  <c r="H279" i="2"/>
  <c r="F279" i="2"/>
  <c r="G279" i="2"/>
  <c r="Q279" i="2" s="1"/>
  <c r="R279" i="2" s="1"/>
  <c r="G277" i="2"/>
  <c r="Q277" i="2" s="1"/>
  <c r="R277" i="2" s="1"/>
  <c r="F277" i="2"/>
  <c r="H277" i="2"/>
  <c r="H275" i="2"/>
  <c r="F275" i="2"/>
  <c r="G275" i="2"/>
  <c r="Q275" i="2" s="1"/>
  <c r="R275" i="2" s="1"/>
  <c r="G270" i="2"/>
  <c r="Q270" i="2" s="1"/>
  <c r="R270" i="2" s="1"/>
  <c r="H270" i="2"/>
  <c r="F270" i="2"/>
  <c r="H428" i="2"/>
  <c r="H12" i="2"/>
  <c r="H86" i="2"/>
  <c r="F86" i="2"/>
  <c r="H96" i="2"/>
  <c r="F96" i="2"/>
  <c r="G133" i="2"/>
  <c r="Q133" i="2" s="1"/>
  <c r="R133" i="2" s="1"/>
  <c r="F133" i="2"/>
  <c r="H130" i="2"/>
  <c r="F130" i="2"/>
  <c r="H165" i="2"/>
  <c r="G165" i="2"/>
  <c r="Q165" i="2" s="1"/>
  <c r="R165" i="2" s="1"/>
  <c r="H192" i="2"/>
  <c r="G192" i="2"/>
  <c r="Q192" i="2" s="1"/>
  <c r="R192" i="2" s="1"/>
  <c r="H80" i="2"/>
  <c r="G174" i="2"/>
  <c r="Q174" i="2" s="1"/>
  <c r="R174" i="2" s="1"/>
  <c r="H121" i="2"/>
  <c r="F114" i="2"/>
  <c r="G114" i="2"/>
  <c r="Q114" i="2" s="1"/>
  <c r="R114" i="2" s="1"/>
  <c r="H114" i="2"/>
  <c r="F109" i="2"/>
  <c r="H109" i="2"/>
  <c r="G109" i="2"/>
  <c r="Q109" i="2" s="1"/>
  <c r="R109" i="2" s="1"/>
  <c r="H76" i="2"/>
  <c r="F76" i="2"/>
  <c r="H93" i="2"/>
  <c r="G93" i="2"/>
  <c r="Q93" i="2" s="1"/>
  <c r="R93" i="2" s="1"/>
  <c r="H107" i="2"/>
  <c r="F107" i="2"/>
  <c r="G107" i="2"/>
  <c r="Q107" i="2" s="1"/>
  <c r="R107" i="2" s="1"/>
  <c r="H102" i="2"/>
  <c r="F102" i="2"/>
  <c r="G102" i="2"/>
  <c r="Q102" i="2" s="1"/>
  <c r="R102" i="2" s="1"/>
  <c r="F172" i="2"/>
  <c r="G152" i="2"/>
  <c r="Q152" i="2" s="1"/>
  <c r="R152" i="2" s="1"/>
  <c r="F152" i="2"/>
  <c r="G237" i="2"/>
  <c r="Q237" i="2" s="1"/>
  <c r="R237" i="2" s="1"/>
  <c r="F228" i="2"/>
  <c r="H248" i="2"/>
  <c r="F239" i="2"/>
  <c r="G239" i="2"/>
  <c r="Q239" i="2" s="1"/>
  <c r="R239" i="2" s="1"/>
  <c r="H239" i="2"/>
  <c r="F286" i="2"/>
  <c r="G112" i="2"/>
  <c r="Q112" i="2" s="1"/>
  <c r="R112" i="2" s="1"/>
  <c r="F112" i="2"/>
  <c r="H146" i="2"/>
  <c r="G146" i="2"/>
  <c r="Q146" i="2" s="1"/>
  <c r="R146" i="2" s="1"/>
  <c r="F161" i="2"/>
  <c r="G161" i="2"/>
  <c r="Q161" i="2" s="1"/>
  <c r="R161" i="2" s="1"/>
  <c r="F175" i="2"/>
  <c r="H175" i="2"/>
  <c r="G175" i="2"/>
  <c r="Q175" i="2" s="1"/>
  <c r="R175" i="2" s="1"/>
  <c r="F190" i="2"/>
  <c r="H190" i="2"/>
  <c r="H91" i="2"/>
  <c r="F91" i="2"/>
  <c r="G91" i="2"/>
  <c r="Q91" i="2" s="1"/>
  <c r="R91" i="2" s="1"/>
  <c r="H89" i="2"/>
  <c r="F89" i="2"/>
  <c r="G105" i="2"/>
  <c r="Q105" i="2" s="1"/>
  <c r="R105" i="2" s="1"/>
  <c r="H105" i="2"/>
  <c r="H103" i="2"/>
  <c r="F103" i="2"/>
  <c r="H126" i="2"/>
  <c r="H122" i="2"/>
  <c r="F122" i="2"/>
  <c r="G122" i="2"/>
  <c r="Q122" i="2" s="1"/>
  <c r="R122" i="2" s="1"/>
  <c r="H144" i="2"/>
  <c r="F144" i="2"/>
  <c r="H138" i="2"/>
  <c r="F138" i="2"/>
  <c r="H136" i="2"/>
  <c r="H207" i="2"/>
  <c r="G221" i="2"/>
  <c r="Q221" i="2" s="1"/>
  <c r="R221" i="2" s="1"/>
  <c r="H221" i="2"/>
  <c r="F221" i="2"/>
  <c r="F218" i="2"/>
  <c r="H218" i="2"/>
  <c r="G218" i="2"/>
  <c r="Q218" i="2" s="1"/>
  <c r="R218" i="2" s="1"/>
  <c r="G231" i="2"/>
  <c r="Q231" i="2" s="1"/>
  <c r="R231" i="2" s="1"/>
  <c r="H231" i="2"/>
  <c r="F231" i="2"/>
  <c r="F229" i="2"/>
  <c r="G229" i="2"/>
  <c r="Q229" i="2" s="1"/>
  <c r="R229" i="2" s="1"/>
  <c r="H246" i="2"/>
  <c r="G246" i="2"/>
  <c r="Q246" i="2" s="1"/>
  <c r="R246" i="2" s="1"/>
  <c r="F246" i="2"/>
  <c r="G197" i="2"/>
  <c r="Q197" i="2" s="1"/>
  <c r="R197" i="2" s="1"/>
  <c r="F197" i="2"/>
  <c r="H195" i="2"/>
  <c r="G195" i="2"/>
  <c r="Q195" i="2" s="1"/>
  <c r="R195" i="2" s="1"/>
  <c r="H212" i="2"/>
  <c r="G212" i="2"/>
  <c r="Q212" i="2" s="1"/>
  <c r="R212" i="2" s="1"/>
  <c r="F212" i="2"/>
  <c r="G226" i="2"/>
  <c r="Q226" i="2" s="1"/>
  <c r="R226" i="2" s="1"/>
  <c r="F226" i="2"/>
  <c r="H226" i="2"/>
  <c r="H153" i="2"/>
  <c r="F153" i="2"/>
  <c r="G166" i="2"/>
  <c r="Q166" i="2" s="1"/>
  <c r="R166" i="2" s="1"/>
  <c r="F166" i="2"/>
  <c r="H186" i="2"/>
  <c r="F186" i="2"/>
  <c r="G209" i="2"/>
  <c r="Q209" i="2" s="1"/>
  <c r="R209" i="2" s="1"/>
  <c r="F209" i="2"/>
  <c r="H219" i="2"/>
  <c r="F219" i="2"/>
  <c r="F204" i="2"/>
  <c r="H204" i="2"/>
  <c r="F201" i="2"/>
  <c r="H201" i="2"/>
  <c r="F199" i="2"/>
  <c r="H199" i="2"/>
  <c r="H232" i="2"/>
  <c r="F232" i="2"/>
  <c r="H203" i="2"/>
  <c r="G203" i="2"/>
  <c r="Q203" i="2" s="1"/>
  <c r="R203" i="2" s="1"/>
  <c r="F203" i="2"/>
  <c r="H215" i="2"/>
  <c r="F215" i="2"/>
  <c r="G215" i="2"/>
  <c r="Q215" i="2" s="1"/>
  <c r="R215" i="2" s="1"/>
  <c r="F230" i="2"/>
  <c r="G230" i="2"/>
  <c r="Q230" i="2" s="1"/>
  <c r="R230" i="2" s="1"/>
  <c r="H233" i="2"/>
  <c r="F233" i="2"/>
  <c r="G233" i="2"/>
  <c r="Q233" i="2" s="1"/>
  <c r="R233" i="2" s="1"/>
  <c r="H211" i="2"/>
  <c r="F211" i="2"/>
  <c r="G211" i="2"/>
  <c r="Q211" i="2" s="1"/>
  <c r="R211" i="2" s="1"/>
  <c r="H223" i="2"/>
  <c r="F223" i="2"/>
  <c r="G223" i="2"/>
  <c r="Q223" i="2" s="1"/>
  <c r="R223" i="2" s="1"/>
  <c r="G268" i="2"/>
  <c r="Q268" i="2" s="1"/>
  <c r="R268" i="2" s="1"/>
  <c r="F268" i="2"/>
  <c r="G266" i="2"/>
  <c r="Q266" i="2" s="1"/>
  <c r="R266" i="2" s="1"/>
  <c r="F266" i="2"/>
  <c r="H266" i="2"/>
  <c r="H288" i="2"/>
  <c r="F288" i="2"/>
  <c r="G288" i="2"/>
  <c r="Q288" i="2" s="1"/>
  <c r="R288" i="2" s="1"/>
  <c r="H299" i="2"/>
  <c r="F299" i="2"/>
  <c r="H240" i="2"/>
  <c r="F240" i="2"/>
  <c r="G240" i="2"/>
  <c r="Q240" i="2" s="1"/>
  <c r="R240" i="2" s="1"/>
  <c r="H269" i="2"/>
  <c r="F269" i="2"/>
  <c r="G269" i="2"/>
  <c r="Q269" i="2" s="1"/>
  <c r="R269" i="2" s="1"/>
  <c r="H267" i="2"/>
  <c r="F267" i="2"/>
  <c r="H264" i="2"/>
  <c r="F264" i="2"/>
  <c r="H298" i="2"/>
  <c r="F298" i="2"/>
  <c r="G284" i="2"/>
  <c r="Q284" i="2" s="1"/>
  <c r="R284" i="2" s="1"/>
  <c r="F284" i="2"/>
  <c r="H259" i="2"/>
  <c r="F259" i="2"/>
  <c r="G259" i="2"/>
  <c r="Q259" i="2" s="1"/>
  <c r="R259" i="2" s="1"/>
  <c r="H273" i="2"/>
  <c r="F273" i="2"/>
  <c r="G273" i="2"/>
  <c r="Q273" i="2" s="1"/>
  <c r="R273" i="2" s="1"/>
  <c r="H293" i="2"/>
  <c r="F293" i="2"/>
  <c r="G293" i="2"/>
  <c r="Q293" i="2" s="1"/>
  <c r="R293" i="2" s="1"/>
  <c r="H225" i="2"/>
  <c r="F225" i="2"/>
  <c r="H222" i="2"/>
  <c r="F222" i="2"/>
  <c r="G222" i="2"/>
  <c r="Q222" i="2" s="1"/>
  <c r="R222" i="2" s="1"/>
  <c r="H265" i="2"/>
  <c r="G265" i="2"/>
  <c r="Q265" i="2" s="1"/>
  <c r="R265" i="2" s="1"/>
  <c r="H285" i="2"/>
  <c r="F285" i="2"/>
  <c r="H262" i="2"/>
  <c r="F262" i="2"/>
  <c r="G262" i="2"/>
  <c r="Q262" i="2" s="1"/>
  <c r="R262" i="2" s="1"/>
  <c r="G282" i="2"/>
  <c r="Q282" i="2" s="1"/>
  <c r="R282" i="2" s="1"/>
  <c r="F282" i="2"/>
  <c r="H297" i="2"/>
  <c r="F297" i="2"/>
  <c r="G297" i="2"/>
  <c r="Q297" i="2" s="1"/>
  <c r="R297" i="2" s="1"/>
  <c r="H257" i="2"/>
  <c r="F257" i="2"/>
  <c r="G257" i="2"/>
  <c r="Q257" i="2" s="1"/>
  <c r="R257" i="2" s="1"/>
  <c r="G255" i="2"/>
  <c r="Q255" i="2" s="1"/>
  <c r="R255" i="2" s="1"/>
  <c r="H255" i="2"/>
  <c r="H278" i="2"/>
  <c r="F278" i="2"/>
  <c r="H276" i="2"/>
  <c r="F276" i="2"/>
  <c r="G276" i="2"/>
  <c r="Q276" i="2" s="1"/>
  <c r="R276" i="2" s="1"/>
  <c r="H294" i="2"/>
  <c r="F294" i="2"/>
  <c r="F7" i="2" l="1"/>
  <c r="D22" i="23" s="1"/>
  <c r="H7" i="2"/>
  <c r="G7" i="2"/>
  <c r="Q7" i="2" s="1"/>
  <c r="R7" i="2" s="1"/>
  <c r="E9" i="23" l="1"/>
  <c r="D4" i="23"/>
  <c r="D6" i="23"/>
  <c r="D7" i="23"/>
  <c r="E23" i="23"/>
  <c r="E18" i="23"/>
  <c r="D10" i="23"/>
  <c r="D23" i="23"/>
  <c r="E17" i="23"/>
  <c r="D11" i="23"/>
  <c r="D9" i="23"/>
  <c r="D13" i="23"/>
  <c r="E8" i="23"/>
  <c r="E22" i="23"/>
  <c r="F22" i="23" s="1"/>
  <c r="G22" i="23" s="1"/>
  <c r="E21" i="23"/>
  <c r="D18" i="23"/>
  <c r="E19" i="23"/>
  <c r="E4" i="23"/>
  <c r="E7" i="23"/>
  <c r="D15" i="23"/>
  <c r="D16" i="23"/>
  <c r="E15" i="23"/>
  <c r="E20" i="23"/>
  <c r="E16" i="23"/>
  <c r="D19" i="23"/>
  <c r="D14" i="23"/>
  <c r="D20" i="23"/>
  <c r="E13" i="23"/>
  <c r="D5" i="23"/>
  <c r="E10" i="23"/>
  <c r="E6" i="23"/>
  <c r="D12" i="23"/>
  <c r="E5" i="23"/>
  <c r="E11" i="23"/>
  <c r="D21" i="23"/>
  <c r="D8" i="23"/>
  <c r="D17" i="23"/>
  <c r="E14" i="23"/>
  <c r="E12" i="23"/>
  <c r="F4" i="23" l="1"/>
  <c r="G4" i="23" s="1"/>
  <c r="F9" i="23"/>
  <c r="G9" i="23" s="1"/>
  <c r="F10" i="23"/>
  <c r="G10" i="23" s="1"/>
  <c r="F21" i="23"/>
  <c r="G21" i="23" s="1"/>
  <c r="F6" i="23"/>
  <c r="G6" i="23" s="1"/>
  <c r="F20" i="23"/>
  <c r="G20" i="23" s="1"/>
  <c r="F7" i="23"/>
  <c r="G7" i="23" s="1"/>
  <c r="F17" i="23"/>
  <c r="G17" i="23" s="1"/>
  <c r="F18" i="23"/>
  <c r="G18" i="23" s="1"/>
  <c r="F13" i="23"/>
  <c r="G13" i="23" s="1"/>
  <c r="F11" i="23"/>
  <c r="G11" i="23" s="1"/>
  <c r="F23" i="23"/>
  <c r="G23" i="23" s="1"/>
  <c r="F8" i="23"/>
  <c r="G8" i="23" s="1"/>
  <c r="F15" i="23"/>
  <c r="G15" i="23" s="1"/>
  <c r="F19" i="23"/>
  <c r="G19" i="23" s="1"/>
  <c r="F16" i="23"/>
  <c r="G16" i="23" s="1"/>
  <c r="F14" i="23"/>
  <c r="G14" i="23" s="1"/>
  <c r="F12" i="23"/>
  <c r="G12" i="23" s="1"/>
  <c r="F5" i="23"/>
  <c r="G5" i="23" s="1"/>
</calcChain>
</file>

<file path=xl/comments1.xml><?xml version="1.0" encoding="utf-8"?>
<comments xmlns="http://schemas.openxmlformats.org/spreadsheetml/2006/main">
  <authors>
    <author>Cristian Camilo CCOA. Orjuela Arce</author>
  </authors>
  <commentList>
    <comment ref="C6" authorId="0" shapeId="0">
      <text>
        <r>
          <rPr>
            <b/>
            <sz val="9"/>
            <color indexed="81"/>
            <rFont val="Tahoma"/>
            <family val="2"/>
          </rPr>
          <t xml:space="preserve">CCOA: 
</t>
        </r>
        <r>
          <rPr>
            <sz val="9"/>
            <color indexed="81"/>
            <rFont val="Tahoma"/>
            <family val="2"/>
          </rPr>
          <t>Registre primer nombre y primer apellido en letra mayúscula.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 xml:space="preserve"> CCOA:
</t>
        </r>
        <r>
          <rPr>
            <sz val="9"/>
            <color indexed="81"/>
            <rFont val="Tahoma"/>
            <family val="2"/>
          </rPr>
          <t xml:space="preserve">Registre la fecha en que realizo el proceso en formato dd/mm/aaaa
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 xml:space="preserve">CCOA:
</t>
        </r>
        <r>
          <rPr>
            <sz val="9"/>
            <color indexed="81"/>
            <rFont val="Tahoma"/>
            <family val="2"/>
          </rPr>
          <t>Registre la cantidad ejecutada en su jornada laboral.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 xml:space="preserve">COA: </t>
        </r>
        <r>
          <rPr>
            <sz val="9"/>
            <color indexed="81"/>
            <rFont val="Tahoma"/>
            <family val="2"/>
          </rPr>
          <t xml:space="preserve">Registrar el tiempo en que realizo la actividad en formato 12 horas </t>
        </r>
      </text>
    </comment>
  </commentList>
</comments>
</file>

<file path=xl/comments2.xml><?xml version="1.0" encoding="utf-8"?>
<comments xmlns="http://schemas.openxmlformats.org/spreadsheetml/2006/main">
  <authors>
    <author>Cristian Camilo CCOA. Orjuela Arce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Ingresar el nombre del funcionario que realiza la actividad.
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Registrar el codigo asignado por cada subproceso.</t>
        </r>
        <r>
          <rPr>
            <b/>
            <sz val="9"/>
            <color indexed="81"/>
            <rFont val="Tahoma"/>
            <family val="2"/>
          </rPr>
          <t>Ver tabla por proceso.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Campo Automático 
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 xml:space="preserve">Proyectos:
Campo Automático 
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Campo Automático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Ingresar la fecha del día habil trabajado en formato DD/MM/AAAA.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Registrar la cantidad total producida por el funcionario.</t>
        </r>
        <r>
          <rPr>
            <b/>
            <sz val="9"/>
            <color indexed="81"/>
            <rFont val="Tahoma"/>
            <family val="2"/>
          </rPr>
          <t xml:space="preserve"> 
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Registrar las horas y minutos utilizados para realizar el subproceso.
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Campo Automático</t>
        </r>
        <r>
          <rPr>
            <b/>
            <sz val="9"/>
            <color indexed="81"/>
            <rFont val="Tahoma"/>
            <family val="2"/>
          </rPr>
          <t xml:space="preserve"> 
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Campo Automático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Campo Automático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Campo Automático 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Diligenciar cualquier comentario adicional o actividad que no este incluida dentro de los subprocesos.
</t>
        </r>
      </text>
    </comment>
  </commentList>
</comments>
</file>

<file path=xl/comments3.xml><?xml version="1.0" encoding="utf-8"?>
<comments xmlns="http://schemas.openxmlformats.org/spreadsheetml/2006/main">
  <authors>
    <author>Cristian Camilo CCOA. Orjuela Arce</author>
  </authors>
  <commentLis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Proyectos: </t>
        </r>
        <r>
          <rPr>
            <sz val="9"/>
            <color indexed="81"/>
            <rFont val="Tahoma"/>
            <family val="2"/>
          </rPr>
          <t>Despliege la lista y seleccione el proyecto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Campo Automático 
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Registrar la cantidad total producida por el funcionario.</t>
        </r>
        <r>
          <rPr>
            <b/>
            <sz val="9"/>
            <color indexed="81"/>
            <rFont val="Tahoma"/>
            <family val="2"/>
          </rPr>
          <t xml:space="preserve"> 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Registrar la producción que debio realizar.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</commentList>
</comments>
</file>

<file path=xl/sharedStrings.xml><?xml version="1.0" encoding="utf-8"?>
<sst xmlns="http://schemas.openxmlformats.org/spreadsheetml/2006/main" count="244" uniqueCount="168">
  <si>
    <t>PROCESO</t>
  </si>
  <si>
    <t>FUNCIONARIO</t>
  </si>
  <si>
    <t>PRODUCCION DIARIA</t>
  </si>
  <si>
    <t>TIEMPO</t>
  </si>
  <si>
    <t>% Rendimiento Alcanzado</t>
  </si>
  <si>
    <t>Producción que Debió Alcanzar</t>
  </si>
  <si>
    <t>Horas</t>
  </si>
  <si>
    <t>Minutos</t>
  </si>
  <si>
    <t>Total Minutos</t>
  </si>
  <si>
    <t>Dia</t>
  </si>
  <si>
    <t>Cantidad</t>
  </si>
  <si>
    <t>Semana</t>
  </si>
  <si>
    <t>Fecha</t>
  </si>
  <si>
    <t>ORGANIZACIÓN</t>
  </si>
  <si>
    <t>PROCESO OPERATIVO</t>
  </si>
  <si>
    <t>CODIGO</t>
  </si>
  <si>
    <t>SUBPROCESO</t>
  </si>
  <si>
    <t>PROYECCIÓN*HORA</t>
  </si>
  <si>
    <t>PROYECCIÓN*MIN</t>
  </si>
  <si>
    <t>UNIDAD DE MEDIDA</t>
  </si>
  <si>
    <t>IMAGEN</t>
  </si>
  <si>
    <t>CONSULTAS CUSTODIA UA</t>
  </si>
  <si>
    <t>UNIDAD ARCHIVISTICA</t>
  </si>
  <si>
    <t>DEVOLUCIONES E INVOLUCRAR</t>
  </si>
  <si>
    <t>UNIDAD DOCUMENTAL</t>
  </si>
  <si>
    <t>BC1</t>
  </si>
  <si>
    <t xml:space="preserve">RECEPCIÓN </t>
  </si>
  <si>
    <t>UNIDAD ARCHIVÍSTICA</t>
  </si>
  <si>
    <t>BC2</t>
  </si>
  <si>
    <t>RECEPCIÓN CAMBIO DE UNIDAD Y CAJA</t>
  </si>
  <si>
    <t>BC3</t>
  </si>
  <si>
    <t>BC4</t>
  </si>
  <si>
    <t>AUTOMATIZACIÓN</t>
  </si>
  <si>
    <t>BC6</t>
  </si>
  <si>
    <t>PREPARACIÓN FISÍCA MICROFILMACIÓN</t>
  </si>
  <si>
    <t>BC7</t>
  </si>
  <si>
    <t>ORGANIZACIÓN H.L.</t>
  </si>
  <si>
    <t>BC8</t>
  </si>
  <si>
    <t>BC9</t>
  </si>
  <si>
    <t>AUTOMATIZACIÓN CHECK LIST</t>
  </si>
  <si>
    <t>BC10</t>
  </si>
  <si>
    <t xml:space="preserve">RECEPCIÓN Y AUTOMATIZACIÓN </t>
  </si>
  <si>
    <t>BC11</t>
  </si>
  <si>
    <t>MICROFILMACIÓN</t>
  </si>
  <si>
    <t>FOTOGRAMA</t>
  </si>
  <si>
    <t>BC12</t>
  </si>
  <si>
    <t>FOLIACIÓN H.L.</t>
  </si>
  <si>
    <t>FOLIO</t>
  </si>
  <si>
    <t>BC13</t>
  </si>
  <si>
    <t>BC14</t>
  </si>
  <si>
    <t>CANTIDAD_AM</t>
  </si>
  <si>
    <t xml:space="preserve">observaciones </t>
  </si>
  <si>
    <t>PROYECCIÓN*DIARIA</t>
  </si>
  <si>
    <t>GADIER Sistemas Profesionales de Información Ltda.</t>
  </si>
  <si>
    <r>
      <t xml:space="preserve">Proyecto: </t>
    </r>
    <r>
      <rPr>
        <sz val="11"/>
        <color theme="1"/>
        <rFont val="Arial"/>
        <family val="2"/>
      </rPr>
      <t>Área Técnica</t>
    </r>
  </si>
  <si>
    <r>
      <t xml:space="preserve">Proceso: </t>
    </r>
    <r>
      <rPr>
        <sz val="11"/>
        <color theme="1"/>
        <rFont val="Arial"/>
        <family val="2"/>
      </rPr>
      <t>Administrativo</t>
    </r>
  </si>
  <si>
    <t>PRODUCCIÓN POR HORA</t>
  </si>
  <si>
    <t>PRODUCCIÓN SR/MINUTO</t>
  </si>
  <si>
    <t>PRODUCCIÓN SEMANAL</t>
  </si>
  <si>
    <t>Producción Realizada</t>
  </si>
  <si>
    <t>% Rendimiento Faltante</t>
  </si>
  <si>
    <t>CONSULTAS CUSTODIA - (IMAGEN) HASTA 5 UNIDADES DOCUMENTALES</t>
  </si>
  <si>
    <t xml:space="preserve">CONSULTAS CUSTODIA - (IMAGEN) SUPERIORES 5 UNIDADES </t>
  </si>
  <si>
    <t>Nombre y Apellido:</t>
  </si>
  <si>
    <t>Codigo:</t>
  </si>
  <si>
    <t xml:space="preserve">Fecha: </t>
  </si>
  <si>
    <t>Tiempo:</t>
  </si>
  <si>
    <t xml:space="preserve">Cantidad procesada: </t>
  </si>
  <si>
    <t>Observaciones:</t>
  </si>
  <si>
    <t>BC13 FOLIO FISCAL SAP</t>
  </si>
  <si>
    <t>BC14 CONTROL DE CALIDAD FOLIO FISCAL SAP</t>
  </si>
  <si>
    <t xml:space="preserve">LG1 ENTREGA DE CORRESPONDENCIA </t>
  </si>
  <si>
    <t>LG2 SERVICIO DE FOTOCOPIAS</t>
  </si>
  <si>
    <t>LG3 DIGITALIZACIÓN (ESCANEO)</t>
  </si>
  <si>
    <t>LG4 CONSULTA ARCHIVO CENTRAL</t>
  </si>
  <si>
    <t>LG5 CONSULTA ARCHIVO INACTIVO</t>
  </si>
  <si>
    <t>LG6 DEVOLUCIONES E INVOLUCRAR</t>
  </si>
  <si>
    <t>LG7 RECOLECCIÓN E INVOLUCRAR FOLIOS (ROTULACIÓN DE CAJAS X-200)</t>
  </si>
  <si>
    <t xml:space="preserve">LG8 TRANSFERENCIA </t>
  </si>
  <si>
    <t>LG9 ELIMINACIÓN</t>
  </si>
  <si>
    <t>CO1 CONSULTA AGI IMAGEN</t>
  </si>
  <si>
    <t>CO2 CONSULTA AGI ORIGINAL</t>
  </si>
  <si>
    <t>CO3 CONSULTA AGI REMITIDO</t>
  </si>
  <si>
    <t>CO4 CONSULTA RECONSTRUCCIÓN CREDITO CORPAVI</t>
  </si>
  <si>
    <t>CO5 CONSULTAS PLANILLAS ISS</t>
  </si>
  <si>
    <t xml:space="preserve">CO6 RECEPCIÓN </t>
  </si>
  <si>
    <t xml:space="preserve">CO7 RECEPCIÓN GARANTIAS </t>
  </si>
  <si>
    <t xml:space="preserve">CO8 AUTOMATIZACIÓN </t>
  </si>
  <si>
    <t xml:space="preserve">CO9 AUTOMATIZACIÒN DE RECEPCIÓN FISICA </t>
  </si>
  <si>
    <t>CO10 ORGANIZACIÓN (APOYO AREAS)</t>
  </si>
  <si>
    <t>CO11 CORREO GENERAL</t>
  </si>
  <si>
    <t>CO12 CORREO ASIGNACIÓN AGI</t>
  </si>
  <si>
    <t>CO13 CORREO RESPUESTA AGI</t>
  </si>
  <si>
    <t xml:space="preserve">CO14 ARCHIVOS DEVUELTOS PARA REMITIR A BODEGAS
 (confirmación por correo al cliente recibido) </t>
  </si>
  <si>
    <t>CO15 DEVOLUCIONES E INVOLUCRAR</t>
  </si>
  <si>
    <t>CO16 INFORME PRODUCTIVIDAD - RECOLECCIÓN DATOS POR BODEGA</t>
  </si>
  <si>
    <t>CO17 AUTOMATIZACIÓN INFORME PRODUCTIVIDAD - RECOLECCION DATOS POR BODEGA</t>
  </si>
  <si>
    <t xml:space="preserve">CO18 AUTOMATIZACIÓN CONSOLIDADO INFORME PRODUCTIVIDAD - BODEGAS </t>
  </si>
  <si>
    <t xml:space="preserve">CO19 AUTOMATIZACIÓN CONSOLIDADO INFORME PRODUCTIVIDAD CONSULTAS - BODEGAS </t>
  </si>
  <si>
    <t>CO20 ORGANIZAR TRANSFERENCIA PARA RECEPCIONAR</t>
  </si>
  <si>
    <t xml:space="preserve">CO21 ORGANIZAR TRANSFERENCIA DATAFILE </t>
  </si>
  <si>
    <t>CO22 MANTENIMIENTO</t>
  </si>
  <si>
    <t>CO23 ELIMINACIÓN MASIVA</t>
  </si>
  <si>
    <t>CO23.1 ELIMINACIÓN CREDITO DE CONSUMO</t>
  </si>
  <si>
    <t>CO24 TRANSFER EXPEDIENTES CANCELADOS PUNTEO</t>
  </si>
  <si>
    <t>CO25 TRANSFER EXPEDIENTES CANCELADOS EXTRACCIÓN</t>
  </si>
  <si>
    <t>CO25.1 TRANSFER EXPEDIENTES CREDITO DE CONSUMO</t>
  </si>
  <si>
    <t>CO25.2 TRANSFER EXPEDIENTES  TARJETAS CREDITO</t>
  </si>
  <si>
    <t>CO26 MARCACIÓN PARA ELIMINACIÓN CON TRD Y/O TVD</t>
  </si>
  <si>
    <t>CO27 RECEPCIÓN ARCHIVO GENERAL</t>
  </si>
  <si>
    <t>CO28 REUBICACIÓN DE EXPEDIENTES</t>
  </si>
  <si>
    <t>CO29 VERIFICAR Y NUMERAR</t>
  </si>
  <si>
    <t>CO30 PUNTEO</t>
  </si>
  <si>
    <t xml:space="preserve">CO31 SELLADO </t>
  </si>
  <si>
    <t>CO32 INTERCALAR ANEXOS</t>
  </si>
  <si>
    <t>CO33 DESCOLGAR ANEXOS</t>
  </si>
  <si>
    <t xml:space="preserve">PROYECTO: </t>
  </si>
  <si>
    <t>BC15</t>
  </si>
  <si>
    <t>BC16</t>
  </si>
  <si>
    <t>CUSTODIA</t>
  </si>
  <si>
    <t xml:space="preserve">MANTENIMIENTO </t>
  </si>
  <si>
    <t>BC5</t>
  </si>
  <si>
    <t>BC17</t>
  </si>
  <si>
    <t>BC18</t>
  </si>
  <si>
    <t>BC19</t>
  </si>
  <si>
    <t>BC20</t>
  </si>
  <si>
    <t xml:space="preserve">BC1 CONSULTAS CUSTODIA - (IMAGEN) SUPERIORES 5 UNIDADES </t>
  </si>
  <si>
    <t>BC2 CONSULTAS CUSTODIA - (IMAGEN) HASTA 5 UNIDADES DOCUMENTALES</t>
  </si>
  <si>
    <t>BC3 CONSULTAS CUSTODIA UA</t>
  </si>
  <si>
    <t>BC4 DEVOLUCIONES E INVOLUCRAR</t>
  </si>
  <si>
    <t xml:space="preserve">BC5 RECEPCIÓN </t>
  </si>
  <si>
    <t>BC6 RECEPCIÓN CAMBIO DE UNIDAD Y CAJA</t>
  </si>
  <si>
    <t xml:space="preserve">BC7 RECEPCIÓN Y AUTOMATIZACIÓN </t>
  </si>
  <si>
    <t>BC8 ORGANIZACIÓN</t>
  </si>
  <si>
    <t>BC9 ORGANIZACIÓN H.L.</t>
  </si>
  <si>
    <t>BC10 AUTOMATIZACIÓN</t>
  </si>
  <si>
    <t>BC11 AUTOMATIZACIÓN CHECK LIST</t>
  </si>
  <si>
    <t>BC12 PREPARACIÓN FISÍCA MICROFILMACIÓN</t>
  </si>
  <si>
    <t>PREPARACIÓN FÍSICA HL</t>
  </si>
  <si>
    <t xml:space="preserve">INSERCIÓN FACTURAS </t>
  </si>
  <si>
    <t>INSERCIÓN DOCUMENTOS</t>
  </si>
  <si>
    <t xml:space="preserve">DIGITALIZACIÓN HL </t>
  </si>
  <si>
    <t xml:space="preserve">DIGITALIZACIÓN SIMPLE </t>
  </si>
  <si>
    <t>CAJA</t>
  </si>
  <si>
    <t>Versión : 0.3  oct 2023</t>
  </si>
  <si>
    <t>Codigo: DT-AT-13-FM-003</t>
  </si>
  <si>
    <t>Pagina: 3 de 4</t>
  </si>
  <si>
    <t>Fecha: 10/10/2023</t>
  </si>
  <si>
    <r>
      <t xml:space="preserve">Tipo de documento: </t>
    </r>
    <r>
      <rPr>
        <sz val="11"/>
        <color theme="1"/>
        <rFont val="Arial"/>
        <family val="2"/>
      </rPr>
      <t>Estadísticas de trabajo</t>
    </r>
  </si>
  <si>
    <t>CUSTODIA_COTA</t>
  </si>
  <si>
    <t>BC12.1</t>
  </si>
  <si>
    <t>BC12.2</t>
  </si>
  <si>
    <t>BC12.1 PREPARACIÓN FÍSICA HL</t>
  </si>
  <si>
    <t xml:space="preserve">BC12.2 PREPARACIÓN </t>
  </si>
  <si>
    <t>INDEXACIÓN</t>
  </si>
  <si>
    <t>REGISTRO</t>
  </si>
  <si>
    <t>BC18 INDEXACIÓN</t>
  </si>
  <si>
    <t>BC17 FOLIACIÓN H.L.</t>
  </si>
  <si>
    <t xml:space="preserve">BC16 DIGITALIZACIÓN SIMPLE </t>
  </si>
  <si>
    <t>BC21</t>
  </si>
  <si>
    <t xml:space="preserve">BC21 MANTENIMIENTO </t>
  </si>
  <si>
    <t>BC20 MICROFILMACIÓN</t>
  </si>
  <si>
    <t>BC19 LEVANTAMIENTO DE INVENTARIO</t>
  </si>
  <si>
    <t xml:space="preserve">BC15 DIGITALIZACIÓN HL </t>
  </si>
  <si>
    <t>BC14 INSERCIÓN DOCUMENTOS</t>
  </si>
  <si>
    <t xml:space="preserve">BC13 INSERCIÓN FACTURAS </t>
  </si>
  <si>
    <t xml:space="preserve">PREPARACIÓN </t>
  </si>
  <si>
    <t>LEVANTAMIENTO DE 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</si>
</sst>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#,##0\ &quot;min&quot;"/>
    <numFmt numFmtId="167" formatCode="#,##0\ &quot;Sem.&quot;"/>
    <numFmt numFmtId="168" formatCode="#,##0\ "/>
    <numFmt numFmtId="169" formatCode="_ * #,##0.00_ ;_ * \-#,##0.00_ ;_ * &quot;-&quot;??_ ;_ @_ "/>
  </numFmts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000000"/>
      <name val="Calibri  "/>
    </font>
    <font>
      <sz val="10"/>
      <color theme="1"/>
      <name val="Calibri  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1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4" fillId="0" borderId="0" xfId="1" applyFont="1"/>
    <xf numFmtId="0" fontId="3" fillId="0" borderId="0" xfId="1" applyFont="1" applyAlignment="1">
      <alignment horizontal="center"/>
    </xf>
    <xf numFmtId="0" fontId="4" fillId="0" borderId="0" xfId="1" applyFont="1" applyAlignment="1" applyProtection="1">
      <alignment horizontal="center"/>
      <protection hidden="1"/>
    </xf>
    <xf numFmtId="0" fontId="4" fillId="0" borderId="0" xfId="1" applyFont="1" applyProtection="1">
      <protection hidden="1"/>
    </xf>
    <xf numFmtId="0" fontId="4" fillId="0" borderId="1" xfId="1" applyFont="1" applyBorder="1" applyAlignment="1" applyProtection="1">
      <alignment horizontal="center"/>
      <protection hidden="1"/>
    </xf>
    <xf numFmtId="0" fontId="4" fillId="0" borderId="1" xfId="1" applyFont="1" applyBorder="1" applyAlignment="1">
      <alignment horizontal="left"/>
    </xf>
    <xf numFmtId="0" fontId="3" fillId="0" borderId="0" xfId="1" applyFont="1"/>
    <xf numFmtId="0" fontId="4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/>
    </xf>
    <xf numFmtId="0" fontId="3" fillId="2" borderId="1" xfId="1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168" fontId="7" fillId="2" borderId="1" xfId="3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2" xfId="0" applyFont="1" applyBorder="1" applyProtection="1">
      <protection locked="0"/>
    </xf>
    <xf numFmtId="167" fontId="4" fillId="2" borderId="1" xfId="3" applyNumberFormat="1" applyFont="1" applyFill="1" applyBorder="1" applyAlignment="1">
      <alignment horizontal="center" vertical="center" wrapText="1"/>
    </xf>
    <xf numFmtId="0" fontId="4" fillId="2" borderId="2" xfId="0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Protection="1">
      <protection hidden="1"/>
    </xf>
    <xf numFmtId="0" fontId="3" fillId="4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0" fontId="1" fillId="0" borderId="1" xfId="0" applyFont="1" applyBorder="1" applyProtection="1">
      <protection locked="0"/>
    </xf>
    <xf numFmtId="1" fontId="11" fillId="0" borderId="1" xfId="0" applyNumberFormat="1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10" fontId="11" fillId="0" borderId="1" xfId="4" applyNumberFormat="1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7" borderId="0" xfId="0" applyFill="1"/>
    <xf numFmtId="0" fontId="0" fillId="0" borderId="0" xfId="0" applyFill="1"/>
    <xf numFmtId="14" fontId="0" fillId="7" borderId="0" xfId="0" applyNumberFormat="1" applyFill="1"/>
    <xf numFmtId="0" fontId="3" fillId="0" borderId="1" xfId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/>
    </xf>
    <xf numFmtId="0" fontId="1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1" fontId="11" fillId="0" borderId="0" xfId="0" applyNumberFormat="1" applyFont="1" applyFill="1" applyBorder="1" applyAlignment="1">
      <alignment horizontal="center"/>
    </xf>
    <xf numFmtId="10" fontId="11" fillId="0" borderId="0" xfId="4" applyNumberFormat="1" applyFont="1" applyFill="1" applyBorder="1" applyAlignment="1">
      <alignment horizontal="center"/>
    </xf>
    <xf numFmtId="20" fontId="0" fillId="0" borderId="0" xfId="0" applyNumberFormat="1"/>
    <xf numFmtId="20" fontId="0" fillId="7" borderId="0" xfId="0" applyNumberFormat="1" applyFill="1"/>
    <xf numFmtId="0" fontId="11" fillId="0" borderId="0" xfId="0" applyFont="1" applyBorder="1" applyAlignment="1" applyProtection="1">
      <alignment vertical="top"/>
      <protection locked="0"/>
    </xf>
    <xf numFmtId="0" fontId="0" fillId="0" borderId="0" xfId="0" applyFill="1" applyAlignment="1">
      <alignment horizontal="center" wrapText="1"/>
    </xf>
    <xf numFmtId="167" fontId="7" fillId="2" borderId="1" xfId="3" applyNumberFormat="1" applyFont="1" applyFill="1" applyBorder="1" applyAlignment="1">
      <alignment horizontal="left" vertical="center"/>
    </xf>
    <xf numFmtId="0" fontId="0" fillId="7" borderId="0" xfId="0" applyFont="1" applyFill="1" applyAlignment="1"/>
    <xf numFmtId="14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 wrapText="1"/>
    </xf>
    <xf numFmtId="20" fontId="4" fillId="0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/>
    </xf>
    <xf numFmtId="164" fontId="7" fillId="2" borderId="1" xfId="3" applyNumberFormat="1" applyFont="1" applyFill="1" applyBorder="1" applyAlignment="1">
      <alignment horizontal="center" vertical="center" wrapText="1"/>
    </xf>
    <xf numFmtId="166" fontId="7" fillId="2" borderId="1" xfId="2" applyNumberFormat="1" applyFont="1" applyFill="1" applyBorder="1" applyAlignment="1">
      <alignment horizontal="center" vertical="center" wrapText="1"/>
    </xf>
    <xf numFmtId="165" fontId="7" fillId="2" borderId="1" xfId="3" applyNumberFormat="1" applyFont="1" applyFill="1" applyBorder="1" applyAlignment="1">
      <alignment horizontal="center" vertical="center" wrapText="1"/>
    </xf>
    <xf numFmtId="3" fontId="0" fillId="7" borderId="0" xfId="0" applyNumberFormat="1" applyFill="1"/>
    <xf numFmtId="0" fontId="15" fillId="0" borderId="0" xfId="0" applyFont="1"/>
    <xf numFmtId="0" fontId="14" fillId="0" borderId="0" xfId="0" applyFont="1" applyFill="1" applyBorder="1" applyAlignment="1">
      <alignment vertical="center"/>
    </xf>
    <xf numFmtId="9" fontId="7" fillId="2" borderId="1" xfId="4" applyFont="1" applyFill="1" applyBorder="1" applyAlignment="1">
      <alignment horizontal="center" vertical="center" wrapText="1"/>
    </xf>
    <xf numFmtId="0" fontId="0" fillId="0" borderId="0" xfId="0"/>
    <xf numFmtId="0" fontId="3" fillId="0" borderId="0" xfId="1" applyFont="1" applyFill="1" applyBorder="1" applyAlignment="1">
      <alignment horizontal="center"/>
    </xf>
    <xf numFmtId="0" fontId="4" fillId="0" borderId="0" xfId="1" applyFont="1" applyBorder="1"/>
    <xf numFmtId="0" fontId="4" fillId="0" borderId="0" xfId="1" applyFont="1" applyBorder="1" applyAlignment="1">
      <alignment wrapText="1"/>
    </xf>
    <xf numFmtId="0" fontId="4" fillId="0" borderId="0" xfId="1" applyFont="1" applyBorder="1" applyAlignment="1">
      <alignment vertical="center"/>
    </xf>
    <xf numFmtId="0" fontId="4" fillId="0" borderId="0" xfId="1" applyFont="1" applyBorder="1" applyAlignment="1">
      <alignment horizontal="left" wrapText="1"/>
    </xf>
    <xf numFmtId="0" fontId="3" fillId="4" borderId="0" xfId="1" applyFont="1" applyFill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left" vertical="top" wrapText="1"/>
    </xf>
    <xf numFmtId="0" fontId="4" fillId="0" borderId="0" xfId="1" applyFont="1" applyBorder="1" applyAlignment="1">
      <alignment horizontal="left"/>
    </xf>
    <xf numFmtId="0" fontId="3" fillId="0" borderId="0" xfId="1" applyFont="1" applyBorder="1" applyAlignment="1">
      <alignment horizontal="center"/>
    </xf>
    <xf numFmtId="0" fontId="3" fillId="0" borderId="6" xfId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0" xfId="1" applyFont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left"/>
    </xf>
    <xf numFmtId="0" fontId="3" fillId="0" borderId="1" xfId="1" applyFont="1" applyBorder="1" applyAlignment="1">
      <alignment horizontal="left"/>
    </xf>
    <xf numFmtId="0" fontId="3" fillId="0" borderId="1" xfId="1" applyFont="1" applyFill="1" applyBorder="1" applyAlignment="1">
      <alignment horizontal="left"/>
    </xf>
    <xf numFmtId="0" fontId="3" fillId="0" borderId="6" xfId="1" applyFont="1" applyFill="1" applyBorder="1" applyAlignment="1">
      <alignment horizontal="left"/>
    </xf>
    <xf numFmtId="0" fontId="0" fillId="0" borderId="0" xfId="0" applyAlignment="1">
      <alignment horizontal="left"/>
    </xf>
    <xf numFmtId="3" fontId="3" fillId="0" borderId="1" xfId="1" applyNumberFormat="1" applyFont="1" applyBorder="1" applyAlignment="1">
      <alignment horizontal="left"/>
    </xf>
    <xf numFmtId="3" fontId="4" fillId="0" borderId="1" xfId="0" applyNumberFormat="1" applyFont="1" applyFill="1" applyBorder="1" applyAlignment="1">
      <alignment horizontal="left" vertical="center"/>
    </xf>
    <xf numFmtId="0" fontId="11" fillId="0" borderId="1" xfId="0" applyFont="1" applyBorder="1"/>
    <xf numFmtId="14" fontId="0" fillId="0" borderId="0" xfId="0" applyNumberFormat="1"/>
    <xf numFmtId="0" fontId="3" fillId="0" borderId="1" xfId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3" fillId="0" borderId="1" xfId="5" applyFont="1" applyBorder="1" applyAlignment="1">
      <alignment horizontal="left"/>
    </xf>
    <xf numFmtId="0" fontId="3" fillId="0" borderId="1" xfId="5" applyFont="1" applyBorder="1" applyAlignment="1">
      <alignment horizontal="left" vertical="center" wrapText="1"/>
    </xf>
    <xf numFmtId="0" fontId="3" fillId="0" borderId="0" xfId="1" applyFont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2" fillId="5" borderId="5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 applyProtection="1">
      <alignment horizontal="center"/>
      <protection hidden="1"/>
    </xf>
    <xf numFmtId="0" fontId="1" fillId="0" borderId="4" xfId="0" applyFont="1" applyFill="1" applyBorder="1" applyAlignment="1" applyProtection="1">
      <alignment horizontal="center"/>
      <protection hidden="1"/>
    </xf>
  </cellXfs>
  <cellStyles count="8">
    <cellStyle name="Millares" xfId="3" builtinId="3"/>
    <cellStyle name="Millares 2" xfId="6"/>
    <cellStyle name="Normal" xfId="0" builtinId="0"/>
    <cellStyle name="Normal 2" xfId="1"/>
    <cellStyle name="Normal 2 2" xfId="2"/>
    <cellStyle name="Normal_Proceso de organización 2" xfId="5"/>
    <cellStyle name="Porcentaje" xfId="4" builtinId="5"/>
    <cellStyle name="Porcentaje 2" xfId="7"/>
  </cellStyles>
  <dxfs count="420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7697D"/>
      <color rgb="FFB88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E2-4C29-B2A6-154A8EAC619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E2-4C29-B2A6-154A8EAC6196}"/>
              </c:ext>
            </c:extLst>
          </c:dPt>
          <c:val>
            <c:numRef>
              <c:f>Resumen!$D$4:$E$4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2-4C29-B2A6-154A8EAC6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04-49EC-A839-5BD67942FE9C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04-49EC-A839-5BD67942FE9C}"/>
              </c:ext>
            </c:extLst>
          </c:dPt>
          <c:val>
            <c:numRef>
              <c:f>Resumen!$D$5:$E$5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04-49EC-A839-5BD67942F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1E-42AB-BD1E-5A0543BBA550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1E-42AB-BD1E-5A0543BBA550}"/>
              </c:ext>
            </c:extLst>
          </c:dPt>
          <c:val>
            <c:numRef>
              <c:f>Resumen!$D$6:$E$6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1E-42AB-BD1E-5A0543BBA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D9D-4C64-A53F-3C207D6C4D38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D9D-4C64-A53F-3C207D6C4D38}"/>
              </c:ext>
            </c:extLst>
          </c:dPt>
          <c:val>
            <c:numRef>
              <c:f>Resumen!$D$7:$E$7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9D-4C64-A53F-3C207D6C4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889D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64-4151-A55F-273D4D88A13B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64-4151-A55F-273D4D88A13B}"/>
              </c:ext>
            </c:extLst>
          </c:dPt>
          <c:val>
            <c:numRef>
              <c:f>Resumen!$D$8:$E$8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64-4151-A55F-273D4D88A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32-44C8-8CB7-6C32636A5737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32-44C8-8CB7-6C32636A5737}"/>
              </c:ext>
            </c:extLst>
          </c:dPt>
          <c:val>
            <c:numRef>
              <c:f>Resumen!$D$9:$E$9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32-44C8-8CB7-6C32636A5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7697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Resumen!$D$10:$E$10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Resumen!$D$11:$E$11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Resumen!$D$12:$E$12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Resumen!$D$13:$E$13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Resumen!$D$14:$E$14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Resumen!$D$15:$E$15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Resumen!$D$16:$E$16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Resumen!$D$17:$E$17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7697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Resumen!$D$18:$E$18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Resumen!$D$19:$E$19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Resumen!$D$20:$E$20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Resumen!$D$21:$E$21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Resumen!$D$22:$E$22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7697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Resumen!$D$23:$E$23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pixabay.com/es/documento-escrito-signo-s%C3%ADmbolo-27655/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s://pixabay.com/es/borrador-goma-gris-deshacer-307517/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pixabay.com/es/disquete-guardar-exportaci%C3%B3n-flecha-27224/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500764</xdr:colOff>
      <xdr:row>0</xdr:row>
      <xdr:rowOff>74240</xdr:rowOff>
    </xdr:from>
    <xdr:to>
      <xdr:col>0</xdr:col>
      <xdr:colOff>1855275</xdr:colOff>
      <xdr:row>2</xdr:row>
      <xdr:rowOff>166689</xdr:rowOff>
    </xdr:to>
    <xdr:grpSp>
      <xdr:nvGrpSpPr>
        <xdr:cNvPr id="5" name="Group 2202">
          <a:extLst>
            <a:ext uri="{FF2B5EF4-FFF2-40B4-BE49-F238E27FC236}">
              <a16:creationId xmlns:a16="http://schemas.microsoft.com/office/drawing/2014/main" id="{DDFB3F7A-6A0F-4D13-A668-807E95917008}"/>
            </a:ext>
          </a:extLst>
        </xdr:cNvPr>
        <xdr:cNvGrpSpPr>
          <a:grpSpLocks/>
        </xdr:cNvGrpSpPr>
      </xdr:nvGrpSpPr>
      <xdr:grpSpPr bwMode="auto">
        <a:xfrm>
          <a:off x="500764" y="74240"/>
          <a:ext cx="1354511" cy="473449"/>
          <a:chOff x="80" y="35"/>
          <a:chExt cx="114" cy="40"/>
        </a:xfrm>
      </xdr:grpSpPr>
      <xdr:sp macro="" textlink="">
        <xdr:nvSpPr>
          <xdr:cNvPr id="6" name="Oval 2">
            <a:extLst>
              <a:ext uri="{FF2B5EF4-FFF2-40B4-BE49-F238E27FC236}">
                <a16:creationId xmlns:a16="http://schemas.microsoft.com/office/drawing/2014/main" id="{5E6F0F22-C5AF-45E5-86D4-6B0C5F66EE8D}"/>
              </a:ext>
            </a:extLst>
          </xdr:cNvPr>
          <xdr:cNvSpPr>
            <a:spLocks noChangeArrowheads="1"/>
          </xdr:cNvSpPr>
        </xdr:nvSpPr>
        <xdr:spPr bwMode="auto">
          <a:xfrm rot="3964086">
            <a:off x="116" y="-1"/>
            <a:ext cx="40" cy="112"/>
          </a:xfrm>
          <a:prstGeom prst="ellips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pic>
        <xdr:nvPicPr>
          <xdr:cNvPr id="7" name="Picture 3" descr="LOGOTIPO">
            <a:extLst>
              <a:ext uri="{FF2B5EF4-FFF2-40B4-BE49-F238E27FC236}">
                <a16:creationId xmlns:a16="http://schemas.microsoft.com/office/drawing/2014/main" id="{3AD9D8D0-5829-4163-92AD-AAFE26ABB12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312"/>
          <a:stretch>
            <a:fillRect/>
          </a:stretch>
        </xdr:blipFill>
        <xdr:spPr bwMode="auto">
          <a:xfrm>
            <a:off x="80" y="41"/>
            <a:ext cx="114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184669</xdr:colOff>
      <xdr:row>3</xdr:row>
      <xdr:rowOff>173690</xdr:rowOff>
    </xdr:from>
    <xdr:to>
      <xdr:col>6</xdr:col>
      <xdr:colOff>437374</xdr:colOff>
      <xdr:row>17</xdr:row>
      <xdr:rowOff>134470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8791DC1-BC89-48DF-8241-D618C408A217}"/>
            </a:ext>
          </a:extLst>
        </xdr:cNvPr>
        <xdr:cNvSpPr/>
      </xdr:nvSpPr>
      <xdr:spPr>
        <a:xfrm>
          <a:off x="184669" y="960960"/>
          <a:ext cx="4801378" cy="2682209"/>
        </a:xfrm>
        <a:prstGeom prst="roundRect">
          <a:avLst>
            <a:gd name="adj" fmla="val 10697"/>
          </a:avLst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156431</xdr:colOff>
      <xdr:row>1</xdr:row>
      <xdr:rowOff>100854</xdr:rowOff>
    </xdr:from>
    <xdr:to>
      <xdr:col>6</xdr:col>
      <xdr:colOff>466532</xdr:colOff>
      <xdr:row>3</xdr:row>
      <xdr:rowOff>5444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E3EF972-6AC9-4FC9-9C0F-3E1B70C364CB}"/>
            </a:ext>
          </a:extLst>
        </xdr:cNvPr>
        <xdr:cNvSpPr/>
      </xdr:nvSpPr>
      <xdr:spPr>
        <a:xfrm>
          <a:off x="156431" y="295242"/>
          <a:ext cx="4858774" cy="497472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Registro</a:t>
          </a:r>
          <a:r>
            <a:rPr lang="es-ES" sz="1600" baseline="0">
              <a:solidFill>
                <a:schemeClr val="tx1"/>
              </a:solidFill>
            </a:rPr>
            <a:t> de la estadistica realizada</a:t>
          </a:r>
          <a:endParaRPr lang="es-E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77823</xdr:colOff>
      <xdr:row>19</xdr:row>
      <xdr:rowOff>85664</xdr:rowOff>
    </xdr:from>
    <xdr:to>
      <xdr:col>2</xdr:col>
      <xdr:colOff>478530</xdr:colOff>
      <xdr:row>22</xdr:row>
      <xdr:rowOff>174949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AED7474C-4A51-48EF-A876-18099747736C}"/>
            </a:ext>
          </a:extLst>
        </xdr:cNvPr>
        <xdr:cNvGrpSpPr/>
      </xdr:nvGrpSpPr>
      <xdr:grpSpPr>
        <a:xfrm>
          <a:off x="835935" y="3983138"/>
          <a:ext cx="1158819" cy="672449"/>
          <a:chOff x="1001165" y="4187246"/>
          <a:chExt cx="1158819" cy="672448"/>
        </a:xfrm>
      </xdr:grpSpPr>
      <xdr:sp macro="[0]!Limpiar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3D7C1947-A6E9-4C76-AA48-BF5DF2FADEA8}"/>
              </a:ext>
            </a:extLst>
          </xdr:cNvPr>
          <xdr:cNvSpPr/>
        </xdr:nvSpPr>
        <xdr:spPr>
          <a:xfrm>
            <a:off x="1001165" y="4187246"/>
            <a:ext cx="1158819" cy="67244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ES" sz="1100"/>
              <a:t>Limpiar </a:t>
            </a:r>
          </a:p>
        </xdr:txBody>
      </xdr:sp>
      <xdr:pic macro="[0]!Limpiar">
        <xdr:nvPicPr>
          <xdr:cNvPr id="18" name="Imagen 17">
            <a:extLst>
              <a:ext uri="{FF2B5EF4-FFF2-40B4-BE49-F238E27FC236}">
                <a16:creationId xmlns:a16="http://schemas.microsoft.com/office/drawing/2014/main" id="{B617C7C3-63C3-425D-9490-C50C0E642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=""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1370433" y="4258241"/>
            <a:ext cx="358225" cy="36429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362378</xdr:colOff>
      <xdr:row>19</xdr:row>
      <xdr:rowOff>91442</xdr:rowOff>
    </xdr:from>
    <xdr:to>
      <xdr:col>6</xdr:col>
      <xdr:colOff>1085</xdr:colOff>
      <xdr:row>22</xdr:row>
      <xdr:rowOff>176839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BC241CCE-7226-44FC-8F22-AC9B6B3B66CA}"/>
            </a:ext>
          </a:extLst>
        </xdr:cNvPr>
        <xdr:cNvGrpSpPr/>
      </xdr:nvGrpSpPr>
      <xdr:grpSpPr>
        <a:xfrm>
          <a:off x="3394827" y="3988916"/>
          <a:ext cx="1154931" cy="668561"/>
          <a:chOff x="3521179" y="4183304"/>
          <a:chExt cx="1154931" cy="668560"/>
        </a:xfrm>
      </xdr:grpSpPr>
      <xdr:sp macro="[0]!Grabar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5CC35252-D5C2-4D80-AE6A-5407B6B4336F}"/>
              </a:ext>
            </a:extLst>
          </xdr:cNvPr>
          <xdr:cNvSpPr/>
        </xdr:nvSpPr>
        <xdr:spPr>
          <a:xfrm>
            <a:off x="3521179" y="4183304"/>
            <a:ext cx="1154931" cy="66856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ES" sz="1100"/>
              <a:t>Guardar</a:t>
            </a:r>
          </a:p>
        </xdr:txBody>
      </xdr:sp>
      <xdr:pic macro="[0]!Grabar">
        <xdr:nvPicPr>
          <xdr:cNvPr id="21" name="Imagen 20">
            <a:extLst>
              <a:ext uri="{FF2B5EF4-FFF2-40B4-BE49-F238E27FC236}">
                <a16:creationId xmlns:a16="http://schemas.microsoft.com/office/drawing/2014/main" id="{9A8E0EDC-77D4-46FE-B3E8-3814BB8E2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="" xmlns:a1611="http://schemas.microsoft.com/office/drawing/2016/11/main" r:id="rId4"/>
              </a:ext>
            </a:extLst>
          </a:blip>
          <a:stretch>
            <a:fillRect/>
          </a:stretch>
        </xdr:blipFill>
        <xdr:spPr>
          <a:xfrm>
            <a:off x="3950447" y="4212158"/>
            <a:ext cx="384400" cy="381224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604387</xdr:colOff>
      <xdr:row>19</xdr:row>
      <xdr:rowOff>83827</xdr:rowOff>
    </xdr:from>
    <xdr:to>
      <xdr:col>4</xdr:col>
      <xdr:colOff>243094</xdr:colOff>
      <xdr:row>22</xdr:row>
      <xdr:rowOff>173112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98801678-24B1-4826-80AA-2C59310A3B86}"/>
            </a:ext>
          </a:extLst>
        </xdr:cNvPr>
        <xdr:cNvGrpSpPr/>
      </xdr:nvGrpSpPr>
      <xdr:grpSpPr>
        <a:xfrm>
          <a:off x="2120611" y="3981301"/>
          <a:ext cx="1154932" cy="672449"/>
          <a:chOff x="2266402" y="4195128"/>
          <a:chExt cx="1154932" cy="672448"/>
        </a:xfrm>
      </xdr:grpSpPr>
      <xdr:sp macro="[0]!Eliminar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68F723F3-3B8F-4727-A460-CD109F33EF38}"/>
              </a:ext>
            </a:extLst>
          </xdr:cNvPr>
          <xdr:cNvSpPr/>
        </xdr:nvSpPr>
        <xdr:spPr>
          <a:xfrm>
            <a:off x="2266402" y="4195128"/>
            <a:ext cx="1154932" cy="67244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Eliminar ultimo</a:t>
            </a:r>
          </a:p>
        </xdr:txBody>
      </xdr:sp>
      <xdr:pic macro="[0]!Eliminar">
        <xdr:nvPicPr>
          <xdr:cNvPr id="24" name="Imagen 23">
            <a:extLst>
              <a:ext uri="{FF2B5EF4-FFF2-40B4-BE49-F238E27FC236}">
                <a16:creationId xmlns:a16="http://schemas.microsoft.com/office/drawing/2014/main" id="{64FFB007-9290-469A-A132-C8F7A42AD6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=""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643674" y="4316108"/>
            <a:ext cx="355610" cy="300602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464344</xdr:colOff>
      <xdr:row>0</xdr:row>
      <xdr:rowOff>202406</xdr:rowOff>
    </xdr:from>
    <xdr:to>
      <xdr:col>0</xdr:col>
      <xdr:colOff>2166938</xdr:colOff>
      <xdr:row>3</xdr:row>
      <xdr:rowOff>71439</xdr:rowOff>
    </xdr:to>
    <xdr:grpSp>
      <xdr:nvGrpSpPr>
        <xdr:cNvPr id="2" name="Group 2202">
          <a:extLst>
            <a:ext uri="{FF2B5EF4-FFF2-40B4-BE49-F238E27FC236}">
              <a16:creationId xmlns:a16="http://schemas.microsoft.com/office/drawing/2014/main" id="{BCCEFEB9-D562-4153-970A-ABE0758A7E24}"/>
            </a:ext>
          </a:extLst>
        </xdr:cNvPr>
        <xdr:cNvGrpSpPr>
          <a:grpSpLocks/>
        </xdr:cNvGrpSpPr>
      </xdr:nvGrpSpPr>
      <xdr:grpSpPr bwMode="auto">
        <a:xfrm>
          <a:off x="464344" y="202406"/>
          <a:ext cx="1388269" cy="476252"/>
          <a:chOff x="80" y="35"/>
          <a:chExt cx="114" cy="40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57C20F7B-72CD-408C-9571-16FC456DB4DE}"/>
              </a:ext>
            </a:extLst>
          </xdr:cNvPr>
          <xdr:cNvSpPr>
            <a:spLocks noChangeArrowheads="1"/>
          </xdr:cNvSpPr>
        </xdr:nvSpPr>
        <xdr:spPr bwMode="auto">
          <a:xfrm rot="3964086">
            <a:off x="116" y="-1"/>
            <a:ext cx="40" cy="112"/>
          </a:xfrm>
          <a:prstGeom prst="ellips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pic>
        <xdr:nvPicPr>
          <xdr:cNvPr id="4" name="Picture 3" descr="LOGOTIPO">
            <a:extLst>
              <a:ext uri="{FF2B5EF4-FFF2-40B4-BE49-F238E27FC236}">
                <a16:creationId xmlns:a16="http://schemas.microsoft.com/office/drawing/2014/main" id="{1F7353A4-6FD2-47F6-AF6B-E63F8351426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312"/>
          <a:stretch>
            <a:fillRect/>
          </a:stretch>
        </xdr:blipFill>
        <xdr:spPr bwMode="auto">
          <a:xfrm>
            <a:off x="80" y="41"/>
            <a:ext cx="114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24</xdr:row>
      <xdr:rowOff>76200</xdr:rowOff>
    </xdr:from>
    <xdr:to>
      <xdr:col>2</xdr:col>
      <xdr:colOff>1343025</xdr:colOff>
      <xdr:row>38</xdr:row>
      <xdr:rowOff>0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551F01C4-C72B-46E2-98A5-99BE60F303C0}"/>
            </a:ext>
          </a:extLst>
        </xdr:cNvPr>
        <xdr:cNvGrpSpPr/>
      </xdr:nvGrpSpPr>
      <xdr:grpSpPr>
        <a:xfrm>
          <a:off x="361952" y="4781550"/>
          <a:ext cx="2962273" cy="2590800"/>
          <a:chOff x="285752" y="2333625"/>
          <a:chExt cx="2676523" cy="2447925"/>
        </a:xfrm>
      </xdr:grpSpPr>
      <xdr:graphicFrame macro="">
        <xdr:nvGraphicFramePr>
          <xdr:cNvPr id="11" name="Gráfico 10">
            <a:extLst>
              <a:ext uri="{FF2B5EF4-FFF2-40B4-BE49-F238E27FC236}">
                <a16:creationId xmlns:a16="http://schemas.microsoft.com/office/drawing/2014/main" id="{B54F480E-4CCD-4137-993C-938176855EC0}"/>
              </a:ext>
            </a:extLst>
          </xdr:cNvPr>
          <xdr:cNvGraphicFramePr/>
        </xdr:nvGraphicFramePr>
        <xdr:xfrm>
          <a:off x="285752" y="2710886"/>
          <a:ext cx="2676523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F$4">
        <xdr:nvSpPr>
          <xdr:cNvPr id="12" name="Rectángulo 11">
            <a:extLst>
              <a:ext uri="{FF2B5EF4-FFF2-40B4-BE49-F238E27FC236}">
                <a16:creationId xmlns:a16="http://schemas.microsoft.com/office/drawing/2014/main" id="{8D7B0B4C-CACF-442C-9276-DE19227ABC45}"/>
              </a:ext>
            </a:extLst>
          </xdr:cNvPr>
          <xdr:cNvSpPr/>
        </xdr:nvSpPr>
        <xdr:spPr>
          <a:xfrm>
            <a:off x="1257023" y="3504036"/>
            <a:ext cx="737135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E6AABE1-CD6B-4708-9DD0-E5DC042D25A5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sp macro="" textlink="$B$4">
        <xdr:nvSpPr>
          <xdr:cNvPr id="13" name="Rectángulo 12">
            <a:extLst>
              <a:ext uri="{FF2B5EF4-FFF2-40B4-BE49-F238E27FC236}">
                <a16:creationId xmlns:a16="http://schemas.microsoft.com/office/drawing/2014/main" id="{C4908C72-0E10-480D-B2C0-CB26A6898050}"/>
              </a:ext>
            </a:extLst>
          </xdr:cNvPr>
          <xdr:cNvSpPr/>
        </xdr:nvSpPr>
        <xdr:spPr>
          <a:xfrm>
            <a:off x="843959" y="2333625"/>
            <a:ext cx="1533580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300CF4-B531-44F0-B533-C89F39AE5838}" type="TxLink">
              <a:rPr lang="en-US" sz="1050" b="1" i="0" u="none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95250</xdr:colOff>
      <xdr:row>41</xdr:row>
      <xdr:rowOff>114300</xdr:rowOff>
    </xdr:from>
    <xdr:to>
      <xdr:col>3</xdr:col>
      <xdr:colOff>28575</xdr:colOff>
      <xdr:row>54</xdr:row>
      <xdr:rowOff>152400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C7063FCF-7930-4A6F-A6D7-9FE3B8D89C19}"/>
            </a:ext>
          </a:extLst>
        </xdr:cNvPr>
        <xdr:cNvGrpSpPr/>
      </xdr:nvGrpSpPr>
      <xdr:grpSpPr>
        <a:xfrm>
          <a:off x="95250" y="8058150"/>
          <a:ext cx="3524250" cy="2514600"/>
          <a:chOff x="3152775" y="2362200"/>
          <a:chExt cx="2914648" cy="2409825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460C771A-2CBD-4A73-8817-EA9FC38DC4FD}"/>
              </a:ext>
            </a:extLst>
          </xdr:cNvPr>
          <xdr:cNvGraphicFramePr/>
        </xdr:nvGraphicFramePr>
        <xdr:xfrm>
          <a:off x="3152775" y="2701361"/>
          <a:ext cx="291464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F$5">
        <xdr:nvSpPr>
          <xdr:cNvPr id="16" name="Rectángulo 15">
            <a:extLst>
              <a:ext uri="{FF2B5EF4-FFF2-40B4-BE49-F238E27FC236}">
                <a16:creationId xmlns:a16="http://schemas.microsoft.com/office/drawing/2014/main" id="{FCA61D2E-00F1-453C-BAFC-02C1FD94E040}"/>
              </a:ext>
            </a:extLst>
          </xdr:cNvPr>
          <xdr:cNvSpPr/>
        </xdr:nvSpPr>
        <xdr:spPr>
          <a:xfrm>
            <a:off x="4228821" y="3484986"/>
            <a:ext cx="737135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E21E078-4902-49E2-A841-D94EA7DAABFF}" type="TxLink">
              <a:rPr lang="en-US" sz="1000" b="1" i="0" u="none" strike="noStrike">
                <a:solidFill>
                  <a:schemeClr val="tx1"/>
                </a:solidFill>
                <a:latin typeface="Arial"/>
                <a:cs typeface="Arial"/>
              </a:rPr>
              <a:pPr algn="ctr"/>
              <a:t>#¡DIV/0!</a:t>
            </a:fld>
            <a:endParaRPr lang="es-ES" sz="1600" b="1">
              <a:solidFill>
                <a:schemeClr val="tx1"/>
              </a:solidFill>
            </a:endParaRPr>
          </a:p>
        </xdr:txBody>
      </xdr:sp>
      <xdr:sp macro="" textlink="$B$5">
        <xdr:nvSpPr>
          <xdr:cNvPr id="17" name="Rectángulo 16">
            <a:extLst>
              <a:ext uri="{FF2B5EF4-FFF2-40B4-BE49-F238E27FC236}">
                <a16:creationId xmlns:a16="http://schemas.microsoft.com/office/drawing/2014/main" id="{65F3D0FC-4F4B-44D8-AB21-88BCD2251F38}"/>
              </a:ext>
            </a:extLst>
          </xdr:cNvPr>
          <xdr:cNvSpPr/>
        </xdr:nvSpPr>
        <xdr:spPr>
          <a:xfrm>
            <a:off x="3796707" y="2362200"/>
            <a:ext cx="1533580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CE7EBCE-C30F-4CB0-922B-33E706FD9F63}" type="TxLink">
              <a:rPr lang="en-US" sz="1000" b="1" i="0" u="none" strike="noStrike">
                <a:solidFill>
                  <a:srgbClr val="FFC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FC000"/>
              </a:solidFill>
            </a:endParaRPr>
          </a:p>
        </xdr:txBody>
      </xdr:sp>
    </xdr:grpSp>
    <xdr:clientData/>
  </xdr:twoCellAnchor>
  <xdr:twoCellAnchor>
    <xdr:from>
      <xdr:col>0</xdr:col>
      <xdr:colOff>123825</xdr:colOff>
      <xdr:row>57</xdr:row>
      <xdr:rowOff>142875</xdr:rowOff>
    </xdr:from>
    <xdr:to>
      <xdr:col>2</xdr:col>
      <xdr:colOff>1371600</xdr:colOff>
      <xdr:row>71</xdr:row>
      <xdr:rowOff>0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FC691D02-6879-4D5E-BFAC-463AA1AEB7ED}"/>
            </a:ext>
          </a:extLst>
        </xdr:cNvPr>
        <xdr:cNvGrpSpPr/>
      </xdr:nvGrpSpPr>
      <xdr:grpSpPr>
        <a:xfrm>
          <a:off x="123825" y="11134725"/>
          <a:ext cx="3228975" cy="2524125"/>
          <a:chOff x="6324600" y="2295525"/>
          <a:chExt cx="2924175" cy="2505075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id="{B661C15A-8589-41FD-8BC4-473A552DA760}"/>
              </a:ext>
            </a:extLst>
          </xdr:cNvPr>
          <xdr:cNvGraphicFramePr/>
        </xdr:nvGraphicFramePr>
        <xdr:xfrm>
          <a:off x="6324600" y="2648091"/>
          <a:ext cx="2924175" cy="21525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F$6">
        <xdr:nvSpPr>
          <xdr:cNvPr id="20" name="Rectángulo 19">
            <a:extLst>
              <a:ext uri="{FF2B5EF4-FFF2-40B4-BE49-F238E27FC236}">
                <a16:creationId xmlns:a16="http://schemas.microsoft.com/office/drawing/2014/main" id="{7E554E94-766F-4277-BDCB-7BC3327CCED4}"/>
              </a:ext>
            </a:extLst>
          </xdr:cNvPr>
          <xdr:cNvSpPr/>
        </xdr:nvSpPr>
        <xdr:spPr>
          <a:xfrm>
            <a:off x="7404163" y="3473344"/>
            <a:ext cx="739545" cy="43606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028DED0-C9A9-4D01-8706-DFE873187A20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200" b="1">
              <a:solidFill>
                <a:schemeClr val="tx1"/>
              </a:solidFill>
            </a:endParaRPr>
          </a:p>
        </xdr:txBody>
      </xdr:sp>
      <xdr:sp macro="" textlink="$B$6">
        <xdr:nvSpPr>
          <xdr:cNvPr id="21" name="Rectángulo 20">
            <a:extLst>
              <a:ext uri="{FF2B5EF4-FFF2-40B4-BE49-F238E27FC236}">
                <a16:creationId xmlns:a16="http://schemas.microsoft.com/office/drawing/2014/main" id="{AD39F30C-A470-4D36-B090-B53AD0FC466C}"/>
              </a:ext>
            </a:extLst>
          </xdr:cNvPr>
          <xdr:cNvSpPr/>
        </xdr:nvSpPr>
        <xdr:spPr>
          <a:xfrm>
            <a:off x="6970636" y="2295525"/>
            <a:ext cx="1538593" cy="4267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B009748-E772-4934-A52F-756DB7606C32}" type="TxLink">
              <a:rPr lang="en-US" sz="1000" b="1" i="0" u="none" strike="noStrike">
                <a:solidFill>
                  <a:schemeClr val="accent6">
                    <a:lumMod val="75000"/>
                  </a:schemeClr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chemeClr val="accent6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142875</xdr:colOff>
      <xdr:row>74</xdr:row>
      <xdr:rowOff>9525</xdr:rowOff>
    </xdr:from>
    <xdr:to>
      <xdr:col>2</xdr:col>
      <xdr:colOff>1362073</xdr:colOff>
      <xdr:row>86</xdr:row>
      <xdr:rowOff>133350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ED89B725-8DEF-414A-B8B6-9485EDA2D1CA}"/>
            </a:ext>
          </a:extLst>
        </xdr:cNvPr>
        <xdr:cNvGrpSpPr/>
      </xdr:nvGrpSpPr>
      <xdr:grpSpPr>
        <a:xfrm>
          <a:off x="142875" y="14239875"/>
          <a:ext cx="3200398" cy="2409825"/>
          <a:chOff x="1571625" y="5057775"/>
          <a:chExt cx="2914648" cy="2409825"/>
        </a:xfrm>
      </xdr:grpSpPr>
      <xdr:graphicFrame macro="">
        <xdr:nvGraphicFramePr>
          <xdr:cNvPr id="23" name="Gráfico 22">
            <a:extLst>
              <a:ext uri="{FF2B5EF4-FFF2-40B4-BE49-F238E27FC236}">
                <a16:creationId xmlns:a16="http://schemas.microsoft.com/office/drawing/2014/main" id="{EA5269C7-EF68-4227-8854-EADCDAB5BCA2}"/>
              </a:ext>
            </a:extLst>
          </xdr:cNvPr>
          <xdr:cNvGraphicFramePr/>
        </xdr:nvGraphicFramePr>
        <xdr:xfrm>
          <a:off x="1571625" y="5396936"/>
          <a:ext cx="291464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F$7">
        <xdr:nvSpPr>
          <xdr:cNvPr id="24" name="Rectángulo 23">
            <a:extLst>
              <a:ext uri="{FF2B5EF4-FFF2-40B4-BE49-F238E27FC236}">
                <a16:creationId xmlns:a16="http://schemas.microsoft.com/office/drawing/2014/main" id="{0D7DCB38-60E1-414E-BB46-4B7AC8CDA317}"/>
              </a:ext>
            </a:extLst>
          </xdr:cNvPr>
          <xdr:cNvSpPr/>
        </xdr:nvSpPr>
        <xdr:spPr>
          <a:xfrm>
            <a:off x="2638146" y="6199611"/>
            <a:ext cx="737135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770F387-97AE-4101-95C9-F31F84D9CA9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sp macro="" textlink="$B$7">
        <xdr:nvSpPr>
          <xdr:cNvPr id="25" name="Rectángulo 24">
            <a:extLst>
              <a:ext uri="{FF2B5EF4-FFF2-40B4-BE49-F238E27FC236}">
                <a16:creationId xmlns:a16="http://schemas.microsoft.com/office/drawing/2014/main" id="{9D23E65E-440F-40C6-8D65-F0E0007B590F}"/>
              </a:ext>
            </a:extLst>
          </xdr:cNvPr>
          <xdr:cNvSpPr/>
        </xdr:nvSpPr>
        <xdr:spPr>
          <a:xfrm>
            <a:off x="2215557" y="5057775"/>
            <a:ext cx="1533580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0ADF87-1815-40EC-B9A1-B28DDBC89B00}" type="TxLink">
              <a:rPr lang="en-US" sz="1000" b="1" i="0" u="none" strike="noStrike">
                <a:solidFill>
                  <a:schemeClr val="accent2">
                    <a:lumMod val="75000"/>
                  </a:schemeClr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chemeClr val="accent2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142875</xdr:colOff>
      <xdr:row>88</xdr:row>
      <xdr:rowOff>95250</xdr:rowOff>
    </xdr:from>
    <xdr:to>
      <xdr:col>2</xdr:col>
      <xdr:colOff>1362073</xdr:colOff>
      <xdr:row>101</xdr:row>
      <xdr:rowOff>28575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43351123-D4C6-4A54-9351-0C9DF85FB3FF}"/>
            </a:ext>
          </a:extLst>
        </xdr:cNvPr>
        <xdr:cNvGrpSpPr/>
      </xdr:nvGrpSpPr>
      <xdr:grpSpPr>
        <a:xfrm>
          <a:off x="142875" y="16992600"/>
          <a:ext cx="3200398" cy="2409825"/>
          <a:chOff x="5057775" y="5067300"/>
          <a:chExt cx="2914648" cy="2409825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id="{BBC63D78-7CB8-4A61-A405-A9CADD492188}"/>
              </a:ext>
            </a:extLst>
          </xdr:cNvPr>
          <xdr:cNvGraphicFramePr/>
        </xdr:nvGraphicFramePr>
        <xdr:xfrm>
          <a:off x="5057775" y="5406461"/>
          <a:ext cx="291464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F$8">
        <xdr:nvSpPr>
          <xdr:cNvPr id="29" name="Rectángulo 28">
            <a:extLst>
              <a:ext uri="{FF2B5EF4-FFF2-40B4-BE49-F238E27FC236}">
                <a16:creationId xmlns:a16="http://schemas.microsoft.com/office/drawing/2014/main" id="{EE1FB72C-C09D-47AC-90F8-19FFBA649685}"/>
              </a:ext>
            </a:extLst>
          </xdr:cNvPr>
          <xdr:cNvSpPr/>
        </xdr:nvSpPr>
        <xdr:spPr>
          <a:xfrm>
            <a:off x="6133821" y="6199611"/>
            <a:ext cx="737135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sp macro="" textlink="$B$8">
        <xdr:nvSpPr>
          <xdr:cNvPr id="30" name="Rectángulo 29">
            <a:extLst>
              <a:ext uri="{FF2B5EF4-FFF2-40B4-BE49-F238E27FC236}">
                <a16:creationId xmlns:a16="http://schemas.microsoft.com/office/drawing/2014/main" id="{FC28F4E4-E039-4293-9CBB-B630E361E9C5}"/>
              </a:ext>
            </a:extLst>
          </xdr:cNvPr>
          <xdr:cNvSpPr/>
        </xdr:nvSpPr>
        <xdr:spPr>
          <a:xfrm>
            <a:off x="5701707" y="5067300"/>
            <a:ext cx="1533580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BB264AC-840C-49DF-B13E-14218F14D877}" type="TxLink">
              <a:rPr lang="en-US" sz="1000" b="1" i="0" u="none" strike="noStrike">
                <a:solidFill>
                  <a:srgbClr val="7030A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7030A0"/>
              </a:solidFill>
            </a:endParaRPr>
          </a:p>
        </xdr:txBody>
      </xdr:sp>
    </xdr:grpSp>
    <xdr:clientData/>
  </xdr:twoCellAnchor>
  <xdr:twoCellAnchor>
    <xdr:from>
      <xdr:col>3</xdr:col>
      <xdr:colOff>257175</xdr:colOff>
      <xdr:row>29</xdr:row>
      <xdr:rowOff>66675</xdr:rowOff>
    </xdr:from>
    <xdr:to>
      <xdr:col>6</xdr:col>
      <xdr:colOff>1152525</xdr:colOff>
      <xdr:row>35</xdr:row>
      <xdr:rowOff>152400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A0313CEC-AFBA-4EE6-ADF0-C70E5EB770EA}"/>
            </a:ext>
          </a:extLst>
        </xdr:cNvPr>
        <xdr:cNvSpPr txBox="1"/>
      </xdr:nvSpPr>
      <xdr:spPr>
        <a:xfrm>
          <a:off x="3638550" y="38195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30</xdr:row>
      <xdr:rowOff>114300</xdr:rowOff>
    </xdr:from>
    <xdr:to>
      <xdr:col>2</xdr:col>
      <xdr:colOff>1352550</xdr:colOff>
      <xdr:row>34</xdr:row>
      <xdr:rowOff>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190FAE38-98E4-40CD-94F6-2BE44E4FD47D}"/>
            </a:ext>
          </a:extLst>
        </xdr:cNvPr>
        <xdr:cNvSpPr/>
      </xdr:nvSpPr>
      <xdr:spPr>
        <a:xfrm>
          <a:off x="2886075" y="4057650"/>
          <a:ext cx="447675" cy="6477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904875</xdr:colOff>
      <xdr:row>93</xdr:row>
      <xdr:rowOff>152400</xdr:rowOff>
    </xdr:from>
    <xdr:to>
      <xdr:col>2</xdr:col>
      <xdr:colOff>1352550</xdr:colOff>
      <xdr:row>97</xdr:row>
      <xdr:rowOff>38100</xdr:rowOff>
    </xdr:to>
    <xdr:sp macro="" textlink="">
      <xdr:nvSpPr>
        <xdr:cNvPr id="26" name="Flecha: a la derecha 25">
          <a:extLst>
            <a:ext uri="{FF2B5EF4-FFF2-40B4-BE49-F238E27FC236}">
              <a16:creationId xmlns:a16="http://schemas.microsoft.com/office/drawing/2014/main" id="{53495EC4-8E18-429F-9DA1-AB9D91AF7EC2}"/>
            </a:ext>
          </a:extLst>
        </xdr:cNvPr>
        <xdr:cNvSpPr/>
      </xdr:nvSpPr>
      <xdr:spPr>
        <a:xfrm>
          <a:off x="2886075" y="16097250"/>
          <a:ext cx="447675" cy="647700"/>
        </a:xfrm>
        <a:prstGeom prst="rightArrow">
          <a:avLst/>
        </a:prstGeom>
        <a:solidFill>
          <a:srgbClr val="B889D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904875</xdr:colOff>
      <xdr:row>79</xdr:row>
      <xdr:rowOff>133350</xdr:rowOff>
    </xdr:from>
    <xdr:to>
      <xdr:col>2</xdr:col>
      <xdr:colOff>1352550</xdr:colOff>
      <xdr:row>83</xdr:row>
      <xdr:rowOff>19050</xdr:rowOff>
    </xdr:to>
    <xdr:sp macro="" textlink="">
      <xdr:nvSpPr>
        <xdr:cNvPr id="27" name="Flecha: a la derecha 26">
          <a:extLst>
            <a:ext uri="{FF2B5EF4-FFF2-40B4-BE49-F238E27FC236}">
              <a16:creationId xmlns:a16="http://schemas.microsoft.com/office/drawing/2014/main" id="{51C38436-73F9-4A84-A412-B79EF5F546CF}"/>
            </a:ext>
          </a:extLst>
        </xdr:cNvPr>
        <xdr:cNvSpPr/>
      </xdr:nvSpPr>
      <xdr:spPr>
        <a:xfrm>
          <a:off x="2886075" y="13411200"/>
          <a:ext cx="447675" cy="64770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904875</xdr:colOff>
      <xdr:row>63</xdr:row>
      <xdr:rowOff>133350</xdr:rowOff>
    </xdr:from>
    <xdr:to>
      <xdr:col>2</xdr:col>
      <xdr:colOff>1352550</xdr:colOff>
      <xdr:row>67</xdr:row>
      <xdr:rowOff>19050</xdr:rowOff>
    </xdr:to>
    <xdr:sp macro="" textlink="">
      <xdr:nvSpPr>
        <xdr:cNvPr id="31" name="Flecha: a la derecha 30">
          <a:extLst>
            <a:ext uri="{FF2B5EF4-FFF2-40B4-BE49-F238E27FC236}">
              <a16:creationId xmlns:a16="http://schemas.microsoft.com/office/drawing/2014/main" id="{8F9D2E59-B046-44B3-AC6E-8B618D733561}"/>
            </a:ext>
          </a:extLst>
        </xdr:cNvPr>
        <xdr:cNvSpPr/>
      </xdr:nvSpPr>
      <xdr:spPr>
        <a:xfrm>
          <a:off x="2886075" y="10363200"/>
          <a:ext cx="447675" cy="6477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904875</xdr:colOff>
      <xdr:row>47</xdr:row>
      <xdr:rowOff>114300</xdr:rowOff>
    </xdr:from>
    <xdr:to>
      <xdr:col>2</xdr:col>
      <xdr:colOff>1352550</xdr:colOff>
      <xdr:row>51</xdr:row>
      <xdr:rowOff>0</xdr:rowOff>
    </xdr:to>
    <xdr:sp macro="" textlink="">
      <xdr:nvSpPr>
        <xdr:cNvPr id="37" name="Flecha: a la derecha 36">
          <a:extLst>
            <a:ext uri="{FF2B5EF4-FFF2-40B4-BE49-F238E27FC236}">
              <a16:creationId xmlns:a16="http://schemas.microsoft.com/office/drawing/2014/main" id="{EC8D1017-9496-44FB-8D75-1A97401349FB}"/>
            </a:ext>
          </a:extLst>
        </xdr:cNvPr>
        <xdr:cNvSpPr/>
      </xdr:nvSpPr>
      <xdr:spPr>
        <a:xfrm>
          <a:off x="2886075" y="7296150"/>
          <a:ext cx="447675" cy="64770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257175</xdr:colOff>
      <xdr:row>46</xdr:row>
      <xdr:rowOff>9525</xdr:rowOff>
    </xdr:from>
    <xdr:to>
      <xdr:col>6</xdr:col>
      <xdr:colOff>1152525</xdr:colOff>
      <xdr:row>52</xdr:row>
      <xdr:rowOff>95250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1D275B6-3C6A-4E93-8431-27890EF5D0BD}"/>
            </a:ext>
          </a:extLst>
        </xdr:cNvPr>
        <xdr:cNvSpPr txBox="1"/>
      </xdr:nvSpPr>
      <xdr:spPr>
        <a:xfrm>
          <a:off x="3638550" y="7000875"/>
          <a:ext cx="5153025" cy="1228725"/>
        </a:xfrm>
        <a:prstGeom prst="rect">
          <a:avLst/>
        </a:prstGeom>
        <a:noFill/>
        <a:ln w="9525" cmpd="sng">
          <a:solidFill>
            <a:schemeClr val="accent4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3</xdr:col>
      <xdr:colOff>257175</xdr:colOff>
      <xdr:row>62</xdr:row>
      <xdr:rowOff>38100</xdr:rowOff>
    </xdr:from>
    <xdr:to>
      <xdr:col>6</xdr:col>
      <xdr:colOff>1152525</xdr:colOff>
      <xdr:row>68</xdr:row>
      <xdr:rowOff>123825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90C7CA7D-5A9D-4770-B6B5-0B597D62255A}"/>
            </a:ext>
          </a:extLst>
        </xdr:cNvPr>
        <xdr:cNvSpPr txBox="1"/>
      </xdr:nvSpPr>
      <xdr:spPr>
        <a:xfrm>
          <a:off x="3638550" y="100774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3</xdr:col>
      <xdr:colOff>257175</xdr:colOff>
      <xdr:row>78</xdr:row>
      <xdr:rowOff>38100</xdr:rowOff>
    </xdr:from>
    <xdr:to>
      <xdr:col>6</xdr:col>
      <xdr:colOff>1152525</xdr:colOff>
      <xdr:row>84</xdr:row>
      <xdr:rowOff>123825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726318CD-1BBD-4FDC-984E-5599DFF934C8}"/>
            </a:ext>
          </a:extLst>
        </xdr:cNvPr>
        <xdr:cNvSpPr txBox="1"/>
      </xdr:nvSpPr>
      <xdr:spPr>
        <a:xfrm>
          <a:off x="3638550" y="131254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3</xdr:col>
      <xdr:colOff>257175</xdr:colOff>
      <xdr:row>92</xdr:row>
      <xdr:rowOff>28575</xdr:rowOff>
    </xdr:from>
    <xdr:to>
      <xdr:col>6</xdr:col>
      <xdr:colOff>1152525</xdr:colOff>
      <xdr:row>98</xdr:row>
      <xdr:rowOff>114300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0448135-3E03-42F9-8DA2-1CEB01B690DA}"/>
            </a:ext>
          </a:extLst>
        </xdr:cNvPr>
        <xdr:cNvSpPr txBox="1"/>
      </xdr:nvSpPr>
      <xdr:spPr>
        <a:xfrm>
          <a:off x="3638550" y="157829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rgbClr val="B889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0</xdr:col>
      <xdr:colOff>219075</xdr:colOff>
      <xdr:row>103</xdr:row>
      <xdr:rowOff>75036</xdr:rowOff>
    </xdr:from>
    <xdr:to>
      <xdr:col>3</xdr:col>
      <xdr:colOff>38098</xdr:colOff>
      <xdr:row>116</xdr:row>
      <xdr:rowOff>171450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D28957DE-4908-472C-A843-E92E97A8672B}"/>
            </a:ext>
          </a:extLst>
        </xdr:cNvPr>
        <xdr:cNvGrpSpPr/>
      </xdr:nvGrpSpPr>
      <xdr:grpSpPr>
        <a:xfrm>
          <a:off x="219075" y="19829886"/>
          <a:ext cx="3409948" cy="2572914"/>
          <a:chOff x="238125" y="14762586"/>
          <a:chExt cx="3200398" cy="2572914"/>
        </a:xfrm>
      </xdr:grpSpPr>
      <xdr:sp macro="" textlink="$F$8">
        <xdr:nvSpPr>
          <xdr:cNvPr id="44" name="Rectángulo 43">
            <a:extLst>
              <a:ext uri="{FF2B5EF4-FFF2-40B4-BE49-F238E27FC236}">
                <a16:creationId xmlns:a16="http://schemas.microsoft.com/office/drawing/2014/main" id="{444CB24A-C94B-405F-94FE-065271B5F1CD}"/>
              </a:ext>
            </a:extLst>
          </xdr:cNvPr>
          <xdr:cNvSpPr/>
        </xdr:nvSpPr>
        <xdr:spPr>
          <a:xfrm>
            <a:off x="1372041" y="14762586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5069680C-D2B5-43A7-B277-1C406F950A44}"/>
              </a:ext>
            </a:extLst>
          </xdr:cNvPr>
          <xdr:cNvGraphicFramePr/>
        </xdr:nvGraphicFramePr>
        <xdr:xfrm>
          <a:off x="238125" y="15264836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F$9">
        <xdr:nvSpPr>
          <xdr:cNvPr id="48" name="Rectángulo 47">
            <a:extLst>
              <a:ext uri="{FF2B5EF4-FFF2-40B4-BE49-F238E27FC236}">
                <a16:creationId xmlns:a16="http://schemas.microsoft.com/office/drawing/2014/main" id="{D3A6262D-0F8E-4903-8AEE-6150618C1370}"/>
              </a:ext>
            </a:extLst>
          </xdr:cNvPr>
          <xdr:cNvSpPr/>
        </xdr:nvSpPr>
        <xdr:spPr>
          <a:xfrm>
            <a:off x="1419666" y="16057986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47DAB32-C957-415B-84DC-F9D8A291A24A}" type="TxLink">
              <a:rPr lang="en-US" sz="1000" b="1" i="0" u="none" strike="noStrike">
                <a:solidFill>
                  <a:schemeClr val="tx2">
                    <a:lumMod val="75000"/>
                  </a:schemeClr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9">
        <xdr:nvSpPr>
          <xdr:cNvPr id="49" name="Rectángulo 48">
            <a:extLst>
              <a:ext uri="{FF2B5EF4-FFF2-40B4-BE49-F238E27FC236}">
                <a16:creationId xmlns:a16="http://schemas.microsoft.com/office/drawing/2014/main" id="{9EA905E3-9997-43C1-9C9F-905D61586322}"/>
              </a:ext>
            </a:extLst>
          </xdr:cNvPr>
          <xdr:cNvSpPr/>
        </xdr:nvSpPr>
        <xdr:spPr>
          <a:xfrm>
            <a:off x="945188" y="14925675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67AD1DB-2881-4BA9-8EE2-BB707C4418B9}" type="TxLink">
              <a:rPr lang="en-US" sz="1000" b="1" i="0" u="none" strike="noStrike">
                <a:solidFill>
                  <a:schemeClr val="tx2">
                    <a:lumMod val="75000"/>
                  </a:schemeClr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chemeClr val="tx2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257175</xdr:colOff>
      <xdr:row>108</xdr:row>
      <xdr:rowOff>38100</xdr:rowOff>
    </xdr:from>
    <xdr:to>
      <xdr:col>6</xdr:col>
      <xdr:colOff>1152525</xdr:colOff>
      <xdr:row>114</xdr:row>
      <xdr:rowOff>123825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16DEAAAD-8013-4725-A034-21524015B768}"/>
            </a:ext>
          </a:extLst>
        </xdr:cNvPr>
        <xdr:cNvSpPr txBox="1"/>
      </xdr:nvSpPr>
      <xdr:spPr>
        <a:xfrm>
          <a:off x="3638550" y="188404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109</xdr:row>
      <xdr:rowOff>141711</xdr:rowOff>
    </xdr:from>
    <xdr:to>
      <xdr:col>2</xdr:col>
      <xdr:colOff>1352550</xdr:colOff>
      <xdr:row>113</xdr:row>
      <xdr:rowOff>27411</xdr:rowOff>
    </xdr:to>
    <xdr:sp macro="" textlink="">
      <xdr:nvSpPr>
        <xdr:cNvPr id="55" name="Flecha: a la derecha 54">
          <a:extLst>
            <a:ext uri="{FF2B5EF4-FFF2-40B4-BE49-F238E27FC236}">
              <a16:creationId xmlns:a16="http://schemas.microsoft.com/office/drawing/2014/main" id="{D734D653-055B-46E5-ABE8-37679CB48C5A}"/>
            </a:ext>
          </a:extLst>
        </xdr:cNvPr>
        <xdr:cNvSpPr/>
      </xdr:nvSpPr>
      <xdr:spPr>
        <a:xfrm>
          <a:off x="2886075" y="19134561"/>
          <a:ext cx="447675" cy="64770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276225</xdr:colOff>
      <xdr:row>119</xdr:row>
      <xdr:rowOff>114300</xdr:rowOff>
    </xdr:from>
    <xdr:to>
      <xdr:col>3</xdr:col>
      <xdr:colOff>95248</xdr:colOff>
      <xdr:row>133</xdr:row>
      <xdr:rowOff>20214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D377D77E-9D42-4672-8888-D3949EA275D3}"/>
            </a:ext>
          </a:extLst>
        </xdr:cNvPr>
        <xdr:cNvGrpSpPr/>
      </xdr:nvGrpSpPr>
      <xdr:grpSpPr>
        <a:xfrm>
          <a:off x="276225" y="22917150"/>
          <a:ext cx="3409948" cy="2572914"/>
          <a:chOff x="276225" y="17916525"/>
          <a:chExt cx="3200398" cy="2572914"/>
        </a:xfrm>
      </xdr:grpSpPr>
      <xdr:sp macro="" textlink="$F$8">
        <xdr:nvSpPr>
          <xdr:cNvPr id="57" name="Rectángulo 56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10141" y="179165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58" name="Gráfico 57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76225" y="1841877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F$10">
        <xdr:nvSpPr>
          <xdr:cNvPr id="59" name="Rectángulo 58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57766" y="192119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FB486FB-5C46-42BE-80CE-71C7841069A2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0">
        <xdr:nvSpPr>
          <xdr:cNvPr id="60" name="Rectángulo 59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83288" y="1807961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BEB5C2-500C-4D39-AF89-3FC06277B196}" type="TxLink">
              <a:rPr lang="en-US" sz="1000" b="1" i="0" u="none" strike="noStrike">
                <a:solidFill>
                  <a:srgbClr val="F7697D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3</xdr:col>
      <xdr:colOff>257175</xdr:colOff>
      <xdr:row>124</xdr:row>
      <xdr:rowOff>85725</xdr:rowOff>
    </xdr:from>
    <xdr:to>
      <xdr:col>6</xdr:col>
      <xdr:colOff>1152525</xdr:colOff>
      <xdr:row>130</xdr:row>
      <xdr:rowOff>171450</xdr:rowOff>
    </xdr:to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38550" y="219360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rgbClr val="F7697D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126</xdr:row>
      <xdr:rowOff>57150</xdr:rowOff>
    </xdr:from>
    <xdr:to>
      <xdr:col>2</xdr:col>
      <xdr:colOff>1352550</xdr:colOff>
      <xdr:row>129</xdr:row>
      <xdr:rowOff>133350</xdr:rowOff>
    </xdr:to>
    <xdr:sp macro="" textlink="">
      <xdr:nvSpPr>
        <xdr:cNvPr id="67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22288500"/>
          <a:ext cx="447675" cy="647700"/>
        </a:xfrm>
        <a:prstGeom prst="rightArrow">
          <a:avLst/>
        </a:prstGeom>
        <a:solidFill>
          <a:srgbClr val="F769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266700</xdr:colOff>
      <xdr:row>136</xdr:row>
      <xdr:rowOff>77364</xdr:rowOff>
    </xdr:from>
    <xdr:to>
      <xdr:col>3</xdr:col>
      <xdr:colOff>85723</xdr:colOff>
      <xdr:row>149</xdr:row>
      <xdr:rowOff>10689</xdr:rowOff>
    </xdr:to>
    <xdr:grpSp>
      <xdr:nvGrpSpPr>
        <xdr:cNvPr id="8" name="Grupo 7"/>
        <xdr:cNvGrpSpPr/>
      </xdr:nvGrpSpPr>
      <xdr:grpSpPr>
        <a:xfrm>
          <a:off x="266700" y="26118714"/>
          <a:ext cx="3409948" cy="2409825"/>
          <a:chOff x="314325" y="26118714"/>
          <a:chExt cx="3200398" cy="2409825"/>
        </a:xfrm>
      </xdr:grpSpPr>
      <xdr:sp macro="" textlink="$F$8">
        <xdr:nvSpPr>
          <xdr:cNvPr id="50" name="Rectángulo 49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10141" y="263747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51" name="Gráfico 50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314325" y="2645787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$F$11">
        <xdr:nvSpPr>
          <xdr:cNvPr id="52" name="Rectángulo 51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95866" y="272510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73E5AC1-A1D0-4F0C-B54D-4B660759C948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1">
        <xdr:nvSpPr>
          <xdr:cNvPr id="53" name="Rectángulo 52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1021388" y="2611871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873FF94-755C-48C6-B1DF-B5008534873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228600</xdr:colOff>
      <xdr:row>152</xdr:row>
      <xdr:rowOff>38100</xdr:rowOff>
    </xdr:from>
    <xdr:to>
      <xdr:col>3</xdr:col>
      <xdr:colOff>47623</xdr:colOff>
      <xdr:row>165</xdr:row>
      <xdr:rowOff>134514</xdr:rowOff>
    </xdr:to>
    <xdr:grpSp>
      <xdr:nvGrpSpPr>
        <xdr:cNvPr id="7" name="Grupo 6"/>
        <xdr:cNvGrpSpPr/>
      </xdr:nvGrpSpPr>
      <xdr:grpSpPr>
        <a:xfrm>
          <a:off x="228600" y="29127450"/>
          <a:ext cx="3409948" cy="2572914"/>
          <a:chOff x="266700" y="29775150"/>
          <a:chExt cx="3200398" cy="2572914"/>
        </a:xfrm>
      </xdr:grpSpPr>
      <xdr:sp macro="" textlink="$F$8">
        <xdr:nvSpPr>
          <xdr:cNvPr id="61" name="Rectángulo 60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00616" y="297751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62" name="Gráfico 61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66700" y="3027740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$F$12">
        <xdr:nvSpPr>
          <xdr:cNvPr id="63" name="Rectángulo 62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48241" y="310705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DF1571-2829-4C40-B314-030CFD318408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2">
        <xdr:nvSpPr>
          <xdr:cNvPr id="64" name="Rectángulo 63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73763" y="2993823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8FA4CA8-F977-4FC8-A703-55B5135D6405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209550</xdr:colOff>
      <xdr:row>169</xdr:row>
      <xdr:rowOff>76200</xdr:rowOff>
    </xdr:from>
    <xdr:to>
      <xdr:col>3</xdr:col>
      <xdr:colOff>28573</xdr:colOff>
      <xdr:row>182</xdr:row>
      <xdr:rowOff>172614</xdr:rowOff>
    </xdr:to>
    <xdr:grpSp>
      <xdr:nvGrpSpPr>
        <xdr:cNvPr id="9" name="Grupo 8"/>
        <xdr:cNvGrpSpPr/>
      </xdr:nvGrpSpPr>
      <xdr:grpSpPr>
        <a:xfrm>
          <a:off x="209550" y="32404050"/>
          <a:ext cx="3409948" cy="2572914"/>
          <a:chOff x="200025" y="32604075"/>
          <a:chExt cx="3200398" cy="2572914"/>
        </a:xfrm>
      </xdr:grpSpPr>
      <xdr:sp macro="" textlink="$F$8">
        <xdr:nvSpPr>
          <xdr:cNvPr id="68" name="Rectángulo 6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33941" y="3260407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69" name="Gráfico 6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00025" y="3310632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$F$13">
        <xdr:nvSpPr>
          <xdr:cNvPr id="70" name="Rectángulo 6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381566" y="3389947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B6231CA-81C0-488B-9DDD-E2E2C6AD45D1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3">
        <xdr:nvSpPr>
          <xdr:cNvPr id="71" name="Rectángulo 7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07088" y="3276716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2A56B62-CDEA-43B2-9DC3-C4FADA06C339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209550</xdr:colOff>
      <xdr:row>186</xdr:row>
      <xdr:rowOff>104775</xdr:rowOff>
    </xdr:from>
    <xdr:to>
      <xdr:col>3</xdr:col>
      <xdr:colOff>28573</xdr:colOff>
      <xdr:row>200</xdr:row>
      <xdr:rowOff>10689</xdr:rowOff>
    </xdr:to>
    <xdr:grpSp>
      <xdr:nvGrpSpPr>
        <xdr:cNvPr id="10" name="Grupo 9"/>
        <xdr:cNvGrpSpPr/>
      </xdr:nvGrpSpPr>
      <xdr:grpSpPr>
        <a:xfrm>
          <a:off x="209550" y="35671125"/>
          <a:ext cx="3409948" cy="2572914"/>
          <a:chOff x="247650" y="36404550"/>
          <a:chExt cx="3200398" cy="2572914"/>
        </a:xfrm>
      </xdr:grpSpPr>
      <xdr:sp macro="" textlink="$F$8">
        <xdr:nvSpPr>
          <xdr:cNvPr id="128" name="Rectángulo 12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81566" y="364045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29" name="Gráfico 12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47650" y="3690680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$F$14">
        <xdr:nvSpPr>
          <xdr:cNvPr id="130" name="Rectángulo 12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29191" y="376999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29E8F03-5CE6-4DBA-923E-B2497BD184DD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4">
        <xdr:nvSpPr>
          <xdr:cNvPr id="131" name="Rectángulo 13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54713" y="3656763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A456080-01CE-4B8B-8104-93588A3641FD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209550</xdr:colOff>
      <xdr:row>202</xdr:row>
      <xdr:rowOff>123825</xdr:rowOff>
    </xdr:from>
    <xdr:to>
      <xdr:col>3</xdr:col>
      <xdr:colOff>28573</xdr:colOff>
      <xdr:row>216</xdr:row>
      <xdr:rowOff>29739</xdr:rowOff>
    </xdr:to>
    <xdr:grpSp>
      <xdr:nvGrpSpPr>
        <xdr:cNvPr id="14" name="Grupo 13"/>
        <xdr:cNvGrpSpPr/>
      </xdr:nvGrpSpPr>
      <xdr:grpSpPr>
        <a:xfrm>
          <a:off x="209550" y="38738175"/>
          <a:ext cx="3409948" cy="2572914"/>
          <a:chOff x="285750" y="40128825"/>
          <a:chExt cx="3200398" cy="2572914"/>
        </a:xfrm>
      </xdr:grpSpPr>
      <xdr:sp macro="" textlink="$F$8">
        <xdr:nvSpPr>
          <xdr:cNvPr id="133" name="Rectángulo 132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19666" y="401288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34" name="Gráfico 133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85750" y="4063107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F$15">
        <xdr:nvSpPr>
          <xdr:cNvPr id="135" name="Rectángulo 134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67291" y="414242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62355D9-5C30-4AF4-B604-0F3A20A38597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5">
        <xdr:nvSpPr>
          <xdr:cNvPr id="136" name="Rectángulo 135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92813" y="4029191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61440F7-58DE-4F0F-9662-FA2ECAE2D661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180975</xdr:colOff>
      <xdr:row>219</xdr:row>
      <xdr:rowOff>123825</xdr:rowOff>
    </xdr:from>
    <xdr:to>
      <xdr:col>2</xdr:col>
      <xdr:colOff>1400173</xdr:colOff>
      <xdr:row>233</xdr:row>
      <xdr:rowOff>29739</xdr:rowOff>
    </xdr:to>
    <xdr:grpSp>
      <xdr:nvGrpSpPr>
        <xdr:cNvPr id="18" name="Grupo 17"/>
        <xdr:cNvGrpSpPr/>
      </xdr:nvGrpSpPr>
      <xdr:grpSpPr>
        <a:xfrm>
          <a:off x="180975" y="41976675"/>
          <a:ext cx="3200398" cy="2572914"/>
          <a:chOff x="190500" y="42205275"/>
          <a:chExt cx="3200398" cy="2572914"/>
        </a:xfrm>
      </xdr:grpSpPr>
      <xdr:sp macro="" textlink="$F$8">
        <xdr:nvSpPr>
          <xdr:cNvPr id="138" name="Rectángulo 13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24416" y="4220527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39" name="Gráfico 13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190500" y="4270752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$F$16">
        <xdr:nvSpPr>
          <xdr:cNvPr id="140" name="Rectángulo 13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372041" y="4350067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B850EC6-2D36-4733-A7A2-E34393A80F2C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6">
        <xdr:nvSpPr>
          <xdr:cNvPr id="141" name="Rectángulo 14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897563" y="4236836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66F153-1437-426A-83D0-343FBA15765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190500</xdr:colOff>
      <xdr:row>236</xdr:row>
      <xdr:rowOff>180975</xdr:rowOff>
    </xdr:from>
    <xdr:to>
      <xdr:col>3</xdr:col>
      <xdr:colOff>9523</xdr:colOff>
      <xdr:row>250</xdr:row>
      <xdr:rowOff>86889</xdr:rowOff>
    </xdr:to>
    <xdr:grpSp>
      <xdr:nvGrpSpPr>
        <xdr:cNvPr id="22" name="Grupo 21"/>
        <xdr:cNvGrpSpPr/>
      </xdr:nvGrpSpPr>
      <xdr:grpSpPr>
        <a:xfrm>
          <a:off x="190500" y="45272325"/>
          <a:ext cx="3409948" cy="2572914"/>
          <a:chOff x="190500" y="46405800"/>
          <a:chExt cx="3200398" cy="2572914"/>
        </a:xfrm>
      </xdr:grpSpPr>
      <xdr:sp macro="" textlink="$F$8">
        <xdr:nvSpPr>
          <xdr:cNvPr id="143" name="Rectángulo 142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24416" y="464058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44" name="Gráfico 143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190500" y="4690805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$F$17">
        <xdr:nvSpPr>
          <xdr:cNvPr id="145" name="Rectángulo 144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372041" y="477012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48AFFD-8A1C-4ADB-AE0E-784F0D467377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7">
        <xdr:nvSpPr>
          <xdr:cNvPr id="146" name="Rectángulo 145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897563" y="4656888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8153CC3-E5D9-4ADE-9D83-0A05E1C91925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200025</xdr:colOff>
      <xdr:row>254</xdr:row>
      <xdr:rowOff>0</xdr:rowOff>
    </xdr:from>
    <xdr:to>
      <xdr:col>3</xdr:col>
      <xdr:colOff>19048</xdr:colOff>
      <xdr:row>267</xdr:row>
      <xdr:rowOff>96414</xdr:rowOff>
    </xdr:to>
    <xdr:grpSp>
      <xdr:nvGrpSpPr>
        <xdr:cNvPr id="42" name="Grupo 41"/>
        <xdr:cNvGrpSpPr/>
      </xdr:nvGrpSpPr>
      <xdr:grpSpPr>
        <a:xfrm>
          <a:off x="200025" y="48520350"/>
          <a:ext cx="3409948" cy="2572914"/>
          <a:chOff x="257175" y="48844200"/>
          <a:chExt cx="3200398" cy="2572914"/>
        </a:xfrm>
      </xdr:grpSpPr>
      <xdr:sp macro="" textlink="$F$8">
        <xdr:nvSpPr>
          <xdr:cNvPr id="148" name="Rectángulo 14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91091" y="488442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49" name="Gráfico 14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57175" y="4934645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$F$18">
        <xdr:nvSpPr>
          <xdr:cNvPr id="150" name="Rectángulo 14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38716" y="501396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20AC577-AD49-4318-93B3-BAD319018653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8">
        <xdr:nvSpPr>
          <xdr:cNvPr id="151" name="Rectángulo 15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64238" y="4900728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4860118-D881-400C-9529-D3459C59FDDE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209550</xdr:colOff>
      <xdr:row>270</xdr:row>
      <xdr:rowOff>85725</xdr:rowOff>
    </xdr:from>
    <xdr:to>
      <xdr:col>3</xdr:col>
      <xdr:colOff>28573</xdr:colOff>
      <xdr:row>283</xdr:row>
      <xdr:rowOff>182139</xdr:rowOff>
    </xdr:to>
    <xdr:grpSp>
      <xdr:nvGrpSpPr>
        <xdr:cNvPr id="43" name="Grupo 42"/>
        <xdr:cNvGrpSpPr/>
      </xdr:nvGrpSpPr>
      <xdr:grpSpPr>
        <a:xfrm>
          <a:off x="209550" y="51654075"/>
          <a:ext cx="3409948" cy="2572914"/>
          <a:chOff x="333375" y="52235100"/>
          <a:chExt cx="3200398" cy="2572914"/>
        </a:xfrm>
      </xdr:grpSpPr>
      <xdr:sp macro="" textlink="$F$8">
        <xdr:nvSpPr>
          <xdr:cNvPr id="153" name="Rectángulo 152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67291" y="522351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54" name="Gráfico 153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333375" y="5273735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$F$19">
        <xdr:nvSpPr>
          <xdr:cNvPr id="155" name="Rectángulo 154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514916" y="535305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0E9FAEF-EF12-40B5-9939-D69242230A6D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9">
        <xdr:nvSpPr>
          <xdr:cNvPr id="156" name="Rectángulo 155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1040438" y="5239818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EE8D056-A686-4073-99F4-0547AB7247E6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238125</xdr:colOff>
      <xdr:row>288</xdr:row>
      <xdr:rowOff>28575</xdr:rowOff>
    </xdr:from>
    <xdr:to>
      <xdr:col>3</xdr:col>
      <xdr:colOff>57148</xdr:colOff>
      <xdr:row>301</xdr:row>
      <xdr:rowOff>124989</xdr:rowOff>
    </xdr:to>
    <xdr:grpSp>
      <xdr:nvGrpSpPr>
        <xdr:cNvPr id="45" name="Grupo 44"/>
        <xdr:cNvGrpSpPr/>
      </xdr:nvGrpSpPr>
      <xdr:grpSpPr>
        <a:xfrm>
          <a:off x="238125" y="55025925"/>
          <a:ext cx="3409948" cy="2572914"/>
          <a:chOff x="219075" y="55587900"/>
          <a:chExt cx="3200398" cy="2572914"/>
        </a:xfrm>
      </xdr:grpSpPr>
      <xdr:sp macro="" textlink="$F$8">
        <xdr:nvSpPr>
          <xdr:cNvPr id="158" name="Rectángulo 15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52991" y="555879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59" name="Gráfico 15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19075" y="5609015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$F$20">
        <xdr:nvSpPr>
          <xdr:cNvPr id="160" name="Rectángulo 15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00616" y="568833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F39CEB9-499C-4D62-84D7-E2C12D4CAE4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20">
        <xdr:nvSpPr>
          <xdr:cNvPr id="161" name="Rectángulo 16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26138" y="5575098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6036A76-3298-4825-B3BC-5560859110CB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257175</xdr:colOff>
      <xdr:row>305</xdr:row>
      <xdr:rowOff>161925</xdr:rowOff>
    </xdr:from>
    <xdr:to>
      <xdr:col>3</xdr:col>
      <xdr:colOff>76198</xdr:colOff>
      <xdr:row>319</xdr:row>
      <xdr:rowOff>67839</xdr:rowOff>
    </xdr:to>
    <xdr:grpSp>
      <xdr:nvGrpSpPr>
        <xdr:cNvPr id="172" name="Grupo 171"/>
        <xdr:cNvGrpSpPr/>
      </xdr:nvGrpSpPr>
      <xdr:grpSpPr>
        <a:xfrm>
          <a:off x="257175" y="58397775"/>
          <a:ext cx="3409948" cy="2572914"/>
          <a:chOff x="352425" y="59912250"/>
          <a:chExt cx="3200398" cy="2572914"/>
        </a:xfrm>
      </xdr:grpSpPr>
      <xdr:sp macro="" textlink="$F$8">
        <xdr:nvSpPr>
          <xdr:cNvPr id="163" name="Rectángulo 162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86341" y="599122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64" name="Gráfico 163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352425" y="6041450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$F$21">
        <xdr:nvSpPr>
          <xdr:cNvPr id="165" name="Rectángulo 164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533966" y="612076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1480A61-01F8-49C2-82B1-02ED345D2DE7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21">
        <xdr:nvSpPr>
          <xdr:cNvPr id="166" name="Rectángulo 165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1059488" y="6007533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0F83D60-0B03-4AF2-B429-43D51BD907CD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266700</xdr:colOff>
      <xdr:row>322</xdr:row>
      <xdr:rowOff>171450</xdr:rowOff>
    </xdr:from>
    <xdr:to>
      <xdr:col>3</xdr:col>
      <xdr:colOff>85723</xdr:colOff>
      <xdr:row>336</xdr:row>
      <xdr:rowOff>77364</xdr:rowOff>
    </xdr:to>
    <xdr:grpSp>
      <xdr:nvGrpSpPr>
        <xdr:cNvPr id="178" name="Grupo 177"/>
        <xdr:cNvGrpSpPr/>
      </xdr:nvGrpSpPr>
      <xdr:grpSpPr>
        <a:xfrm>
          <a:off x="266700" y="61645800"/>
          <a:ext cx="3409948" cy="2572914"/>
          <a:chOff x="390525" y="61855350"/>
          <a:chExt cx="3200398" cy="2572914"/>
        </a:xfrm>
      </xdr:grpSpPr>
      <xdr:sp macro="" textlink="$F$8">
        <xdr:nvSpPr>
          <xdr:cNvPr id="168" name="Rectángulo 16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524441" y="618553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69" name="Gráfico 16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390525" y="6235760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$F$22">
        <xdr:nvSpPr>
          <xdr:cNvPr id="170" name="Rectángulo 16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572066" y="631507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B6E9EBD-C4CC-488A-8A8D-98B88FEDD473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22">
        <xdr:nvSpPr>
          <xdr:cNvPr id="171" name="Rectángulo 17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1097588" y="6201843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0049431-B0F3-4C39-B623-EAFB1A54A992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219075</xdr:colOff>
      <xdr:row>340</xdr:row>
      <xdr:rowOff>9525</xdr:rowOff>
    </xdr:from>
    <xdr:to>
      <xdr:col>3</xdr:col>
      <xdr:colOff>38098</xdr:colOff>
      <xdr:row>353</xdr:row>
      <xdr:rowOff>105939</xdr:rowOff>
    </xdr:to>
    <xdr:grpSp>
      <xdr:nvGrpSpPr>
        <xdr:cNvPr id="179" name="Grupo 178"/>
        <xdr:cNvGrpSpPr/>
      </xdr:nvGrpSpPr>
      <xdr:grpSpPr>
        <a:xfrm>
          <a:off x="219075" y="64912875"/>
          <a:ext cx="3409948" cy="2572914"/>
          <a:chOff x="5981700" y="64284225"/>
          <a:chExt cx="3200398" cy="2572914"/>
        </a:xfrm>
      </xdr:grpSpPr>
      <xdr:sp macro="" textlink="$F$8">
        <xdr:nvSpPr>
          <xdr:cNvPr id="174" name="Rectángulo 173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7115616" y="642842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5" name="Gráfico 174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5981700" y="6478647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$F$23">
        <xdr:nvSpPr>
          <xdr:cNvPr id="176" name="Rectángulo 175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7163241" y="655796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0291DEB-F259-44FE-BC24-FAFF1BD5FEF3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23">
        <xdr:nvSpPr>
          <xdr:cNvPr id="177" name="Rectángulo 176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6688763" y="6444731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85A450C-37BA-4803-A0FC-F99E46977CC8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2</xdr:col>
      <xdr:colOff>904875</xdr:colOff>
      <xdr:row>142</xdr:row>
      <xdr:rowOff>20214</xdr:rowOff>
    </xdr:from>
    <xdr:to>
      <xdr:col>2</xdr:col>
      <xdr:colOff>1352550</xdr:colOff>
      <xdr:row>145</xdr:row>
      <xdr:rowOff>96414</xdr:rowOff>
    </xdr:to>
    <xdr:sp macro="" textlink="">
      <xdr:nvSpPr>
        <xdr:cNvPr id="180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27204564"/>
          <a:ext cx="447675" cy="6477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257175</xdr:colOff>
      <xdr:row>140</xdr:row>
      <xdr:rowOff>66675</xdr:rowOff>
    </xdr:from>
    <xdr:to>
      <xdr:col>6</xdr:col>
      <xdr:colOff>1152525</xdr:colOff>
      <xdr:row>146</xdr:row>
      <xdr:rowOff>152400</xdr:rowOff>
    </xdr:to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38550" y="268700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158</xdr:row>
      <xdr:rowOff>76200</xdr:rowOff>
    </xdr:from>
    <xdr:to>
      <xdr:col>2</xdr:col>
      <xdr:colOff>1352550</xdr:colOff>
      <xdr:row>161</xdr:row>
      <xdr:rowOff>152400</xdr:rowOff>
    </xdr:to>
    <xdr:sp macro="" textlink="">
      <xdr:nvSpPr>
        <xdr:cNvPr id="184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30308550"/>
          <a:ext cx="447675" cy="64770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257175</xdr:colOff>
      <xdr:row>156</xdr:row>
      <xdr:rowOff>180975</xdr:rowOff>
    </xdr:from>
    <xdr:to>
      <xdr:col>6</xdr:col>
      <xdr:colOff>1152525</xdr:colOff>
      <xdr:row>163</xdr:row>
      <xdr:rowOff>76200</xdr:rowOff>
    </xdr:to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38550" y="300323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175</xdr:row>
      <xdr:rowOff>76200</xdr:rowOff>
    </xdr:from>
    <xdr:to>
      <xdr:col>2</xdr:col>
      <xdr:colOff>1352550</xdr:colOff>
      <xdr:row>178</xdr:row>
      <xdr:rowOff>152400</xdr:rowOff>
    </xdr:to>
    <xdr:sp macro="" textlink="">
      <xdr:nvSpPr>
        <xdr:cNvPr id="186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33547050"/>
          <a:ext cx="447675" cy="64770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173</xdr:row>
      <xdr:rowOff>152400</xdr:rowOff>
    </xdr:from>
    <xdr:to>
      <xdr:col>6</xdr:col>
      <xdr:colOff>1162050</xdr:colOff>
      <xdr:row>180</xdr:row>
      <xdr:rowOff>47625</xdr:rowOff>
    </xdr:to>
    <xdr:sp macro="" textlink="">
      <xdr:nvSpPr>
        <xdr:cNvPr id="187" name="CuadroTexto 186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332422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192</xdr:row>
      <xdr:rowOff>95250</xdr:rowOff>
    </xdr:from>
    <xdr:to>
      <xdr:col>2</xdr:col>
      <xdr:colOff>1352550</xdr:colOff>
      <xdr:row>195</xdr:row>
      <xdr:rowOff>171450</xdr:rowOff>
    </xdr:to>
    <xdr:sp macro="" textlink="">
      <xdr:nvSpPr>
        <xdr:cNvPr id="188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36804600"/>
          <a:ext cx="447675" cy="64770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190</xdr:row>
      <xdr:rowOff>180975</xdr:rowOff>
    </xdr:from>
    <xdr:to>
      <xdr:col>6</xdr:col>
      <xdr:colOff>1162050</xdr:colOff>
      <xdr:row>197</xdr:row>
      <xdr:rowOff>76200</xdr:rowOff>
    </xdr:to>
    <xdr:sp macro="" textlink="">
      <xdr:nvSpPr>
        <xdr:cNvPr id="189" name="CuadroTexto 188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365093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208</xdr:row>
      <xdr:rowOff>171450</xdr:rowOff>
    </xdr:from>
    <xdr:to>
      <xdr:col>2</xdr:col>
      <xdr:colOff>1352550</xdr:colOff>
      <xdr:row>212</xdr:row>
      <xdr:rowOff>57150</xdr:rowOff>
    </xdr:to>
    <xdr:sp macro="" textlink="">
      <xdr:nvSpPr>
        <xdr:cNvPr id="190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39928800"/>
          <a:ext cx="447675" cy="6477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207</xdr:row>
      <xdr:rowOff>38100</xdr:rowOff>
    </xdr:from>
    <xdr:to>
      <xdr:col>6</xdr:col>
      <xdr:colOff>1162050</xdr:colOff>
      <xdr:row>213</xdr:row>
      <xdr:rowOff>123825</xdr:rowOff>
    </xdr:to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396049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226</xdr:row>
      <xdr:rowOff>19050</xdr:rowOff>
    </xdr:from>
    <xdr:to>
      <xdr:col>2</xdr:col>
      <xdr:colOff>1352550</xdr:colOff>
      <xdr:row>229</xdr:row>
      <xdr:rowOff>95250</xdr:rowOff>
    </xdr:to>
    <xdr:sp macro="" textlink="">
      <xdr:nvSpPr>
        <xdr:cNvPr id="192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43205400"/>
          <a:ext cx="447675" cy="647700"/>
        </a:xfrm>
        <a:prstGeom prst="rightArrow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224</xdr:row>
      <xdr:rowOff>47625</xdr:rowOff>
    </xdr:from>
    <xdr:to>
      <xdr:col>6</xdr:col>
      <xdr:colOff>1162050</xdr:colOff>
      <xdr:row>230</xdr:row>
      <xdr:rowOff>133350</xdr:rowOff>
    </xdr:to>
    <xdr:sp macro="" textlink="">
      <xdr:nvSpPr>
        <xdr:cNvPr id="194" name="CuadroTexto 193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428529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5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242</xdr:row>
      <xdr:rowOff>114300</xdr:rowOff>
    </xdr:from>
    <xdr:to>
      <xdr:col>2</xdr:col>
      <xdr:colOff>1352550</xdr:colOff>
      <xdr:row>246</xdr:row>
      <xdr:rowOff>0</xdr:rowOff>
    </xdr:to>
    <xdr:sp macro="" textlink="">
      <xdr:nvSpPr>
        <xdr:cNvPr id="195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46348650"/>
          <a:ext cx="447675" cy="64770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241</xdr:row>
      <xdr:rowOff>9525</xdr:rowOff>
    </xdr:from>
    <xdr:to>
      <xdr:col>6</xdr:col>
      <xdr:colOff>1162050</xdr:colOff>
      <xdr:row>247</xdr:row>
      <xdr:rowOff>95250</xdr:rowOff>
    </xdr:to>
    <xdr:sp macro="" textlink="">
      <xdr:nvSpPr>
        <xdr:cNvPr id="196" name="CuadroTexto 195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460533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4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260</xdr:row>
      <xdr:rowOff>85725</xdr:rowOff>
    </xdr:from>
    <xdr:to>
      <xdr:col>2</xdr:col>
      <xdr:colOff>1352550</xdr:colOff>
      <xdr:row>263</xdr:row>
      <xdr:rowOff>161925</xdr:rowOff>
    </xdr:to>
    <xdr:sp macro="" textlink="">
      <xdr:nvSpPr>
        <xdr:cNvPr id="197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49749075"/>
          <a:ext cx="447675" cy="647700"/>
        </a:xfrm>
        <a:prstGeom prst="rightArrow">
          <a:avLst/>
        </a:prstGeom>
        <a:solidFill>
          <a:srgbClr val="F769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258</xdr:row>
      <xdr:rowOff>114300</xdr:rowOff>
    </xdr:from>
    <xdr:to>
      <xdr:col>6</xdr:col>
      <xdr:colOff>1162050</xdr:colOff>
      <xdr:row>265</xdr:row>
      <xdr:rowOff>9525</xdr:rowOff>
    </xdr:to>
    <xdr:sp macro="" textlink="">
      <xdr:nvSpPr>
        <xdr:cNvPr id="199" name="CuadroTexto 198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493966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rgbClr val="F7697D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276</xdr:row>
      <xdr:rowOff>171450</xdr:rowOff>
    </xdr:from>
    <xdr:to>
      <xdr:col>2</xdr:col>
      <xdr:colOff>1352550</xdr:colOff>
      <xdr:row>280</xdr:row>
      <xdr:rowOff>57150</xdr:rowOff>
    </xdr:to>
    <xdr:sp macro="" textlink="">
      <xdr:nvSpPr>
        <xdr:cNvPr id="200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53073300"/>
          <a:ext cx="447675" cy="64770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274</xdr:row>
      <xdr:rowOff>123825</xdr:rowOff>
    </xdr:from>
    <xdr:to>
      <xdr:col>6</xdr:col>
      <xdr:colOff>1162050</xdr:colOff>
      <xdr:row>281</xdr:row>
      <xdr:rowOff>19050</xdr:rowOff>
    </xdr:to>
    <xdr:sp macro="" textlink="">
      <xdr:nvSpPr>
        <xdr:cNvPr id="202" name="CuadroTexto 201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526446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294</xdr:row>
      <xdr:rowOff>66675</xdr:rowOff>
    </xdr:from>
    <xdr:to>
      <xdr:col>2</xdr:col>
      <xdr:colOff>1352550</xdr:colOff>
      <xdr:row>297</xdr:row>
      <xdr:rowOff>142875</xdr:rowOff>
    </xdr:to>
    <xdr:sp macro="" textlink="">
      <xdr:nvSpPr>
        <xdr:cNvPr id="203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56207025"/>
          <a:ext cx="447675" cy="647700"/>
        </a:xfrm>
        <a:prstGeom prst="rightArrow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292</xdr:row>
      <xdr:rowOff>123825</xdr:rowOff>
    </xdr:from>
    <xdr:to>
      <xdr:col>6</xdr:col>
      <xdr:colOff>1162050</xdr:colOff>
      <xdr:row>299</xdr:row>
      <xdr:rowOff>19050</xdr:rowOff>
    </xdr:to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558831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311</xdr:row>
      <xdr:rowOff>133350</xdr:rowOff>
    </xdr:from>
    <xdr:to>
      <xdr:col>2</xdr:col>
      <xdr:colOff>1352550</xdr:colOff>
      <xdr:row>315</xdr:row>
      <xdr:rowOff>19050</xdr:rowOff>
    </xdr:to>
    <xdr:sp macro="" textlink="">
      <xdr:nvSpPr>
        <xdr:cNvPr id="206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59512200"/>
          <a:ext cx="447675" cy="64770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309</xdr:row>
      <xdr:rowOff>142875</xdr:rowOff>
    </xdr:from>
    <xdr:to>
      <xdr:col>6</xdr:col>
      <xdr:colOff>1162050</xdr:colOff>
      <xdr:row>316</xdr:row>
      <xdr:rowOff>38100</xdr:rowOff>
    </xdr:to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591407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895350</xdr:colOff>
      <xdr:row>329</xdr:row>
      <xdr:rowOff>28575</xdr:rowOff>
    </xdr:from>
    <xdr:to>
      <xdr:col>2</xdr:col>
      <xdr:colOff>1343025</xdr:colOff>
      <xdr:row>332</xdr:row>
      <xdr:rowOff>104775</xdr:rowOff>
    </xdr:to>
    <xdr:sp macro="" textlink="">
      <xdr:nvSpPr>
        <xdr:cNvPr id="208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76550" y="62836425"/>
          <a:ext cx="447675" cy="64770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327</xdr:row>
      <xdr:rowOff>104775</xdr:rowOff>
    </xdr:from>
    <xdr:to>
      <xdr:col>6</xdr:col>
      <xdr:colOff>1162050</xdr:colOff>
      <xdr:row>334</xdr:row>
      <xdr:rowOff>0</xdr:rowOff>
    </xdr:to>
    <xdr:sp macro="" textlink="">
      <xdr:nvSpPr>
        <xdr:cNvPr id="209" name="CuadroTexto 208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625316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bg2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346</xdr:row>
      <xdr:rowOff>95250</xdr:rowOff>
    </xdr:from>
    <xdr:to>
      <xdr:col>2</xdr:col>
      <xdr:colOff>1352550</xdr:colOff>
      <xdr:row>349</xdr:row>
      <xdr:rowOff>171450</xdr:rowOff>
    </xdr:to>
    <xdr:sp macro="" textlink="">
      <xdr:nvSpPr>
        <xdr:cNvPr id="210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66141600"/>
          <a:ext cx="447675" cy="647700"/>
        </a:xfrm>
        <a:prstGeom prst="rightArrow">
          <a:avLst/>
        </a:prstGeom>
        <a:solidFill>
          <a:srgbClr val="F769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344</xdr:row>
      <xdr:rowOff>114300</xdr:rowOff>
    </xdr:from>
    <xdr:to>
      <xdr:col>6</xdr:col>
      <xdr:colOff>1162050</xdr:colOff>
      <xdr:row>351</xdr:row>
      <xdr:rowOff>9525</xdr:rowOff>
    </xdr:to>
    <xdr:sp macro="" textlink="">
      <xdr:nvSpPr>
        <xdr:cNvPr id="211" name="CuadroTexto 210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657796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rgbClr val="F7697D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0.3274</cdr:x>
      <cdr:y>0.27158</cdr:y>
    </cdr:from>
    <cdr:to>
      <cdr:x>0.68167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69848" y="649871"/>
          <a:ext cx="1049450" cy="1115645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0.33274</cdr:x>
      <cdr:y>0.25442</cdr:y>
    </cdr:from>
    <cdr:to>
      <cdr:x>0.6634</cdr:x>
      <cdr:y>0.7424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69809" y="526818"/>
          <a:ext cx="96376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4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 sz="105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0.33815</cdr:x>
      <cdr:y>0.26105</cdr:y>
    </cdr:from>
    <cdr:to>
      <cdr:x>0.65487</cdr:x>
      <cdr:y>0.73211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1091876" y="566182"/>
          <a:ext cx="1022673" cy="1021671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0.32947</cdr:x>
      <cdr:y>0.25442</cdr:y>
    </cdr:from>
    <cdr:to>
      <cdr:x>0.66013</cdr:x>
      <cdr:y>0.747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60284" y="526818"/>
          <a:ext cx="963766" cy="1019971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rgbClr val="B889DB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rgbClr val="F7697D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bg2">
            <a:lumMod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5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4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rgbClr val="F7697D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1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bg2">
            <a:lumMod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rgbClr val="F7697D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0.20\Carpetas%20de%20usuarios\Documents%20and%20Settings\91080117\Escritorio\Monica%20Yate\Contrato%202010%20-%202012\DIGITALIZACION%20CALIMAS\PROYECCION%202014\ESTADISTICAS%20POR%20FUNCIONAR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ATHERINE"/>
      <sheetName val="LINDA"/>
      <sheetName val="JOHN"/>
      <sheetName val="LEIDY"/>
      <sheetName val="JOSE"/>
      <sheetName val="LAURA"/>
      <sheetName val="KAREN"/>
      <sheetName val="ANDRES"/>
      <sheetName val="PAULA"/>
      <sheetName val="ADRIANA"/>
      <sheetName val="Hoja4"/>
      <sheetName val="Hoja1"/>
      <sheetName val="Hoja2"/>
      <sheetName val="Hoja3"/>
      <sheetName val="PROCES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8">
          <cell r="B8" t="str">
            <v>ORDENACION Y CLASIFICACION</v>
          </cell>
        </row>
        <row r="9">
          <cell r="B9" t="str">
            <v>RECEPCIÓN</v>
          </cell>
        </row>
        <row r="10">
          <cell r="B10" t="str">
            <v>ARCHIVO FISICO</v>
          </cell>
        </row>
        <row r="11">
          <cell r="B11" t="str">
            <v>UNIFICACION</v>
          </cell>
        </row>
        <row r="12">
          <cell r="B12" t="str">
            <v>FOLIACION</v>
          </cell>
        </row>
        <row r="13">
          <cell r="B13" t="str">
            <v>APERTURA UA</v>
          </cell>
        </row>
        <row r="14">
          <cell r="B14" t="str">
            <v>CIERRE UA</v>
          </cell>
        </row>
        <row r="15">
          <cell r="B15" t="str">
            <v>CONSULTA POR EXPEDIENTE</v>
          </cell>
        </row>
        <row r="16">
          <cell r="B16" t="str">
            <v>CONSULTA POR IMAGEN</v>
          </cell>
        </row>
        <row r="24">
          <cell r="B24" t="str">
            <v>ADQUISICION MATERIAL BIBLIOGRAFICO</v>
          </cell>
        </row>
        <row r="25">
          <cell r="B25" t="str">
            <v>APERTURA UNIDADES BIBLIOGRAFICAS</v>
          </cell>
        </row>
        <row r="26">
          <cell r="B26" t="str">
            <v>PROCESO TECNICO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28"/>
  <sheetViews>
    <sheetView zoomScale="80" zoomScaleNormal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5" sqref="D1:F1048576"/>
    </sheetView>
  </sheetViews>
  <sheetFormatPr baseColWidth="10" defaultRowHeight="15"/>
  <cols>
    <col min="1" max="1" width="28.5703125" style="7" customWidth="1"/>
    <col min="2" max="2" width="13.28515625" style="2" customWidth="1"/>
    <col min="3" max="3" width="63.5703125" style="1" customWidth="1"/>
    <col min="4" max="4" width="22.28515625" style="1" hidden="1" customWidth="1"/>
    <col min="5" max="5" width="21.28515625" style="3" hidden="1" customWidth="1"/>
    <col min="6" max="6" width="22.85546875" style="4" hidden="1" customWidth="1"/>
    <col min="7" max="7" width="51" style="1" bestFit="1" customWidth="1"/>
    <col min="8" max="16384" width="11.42578125" style="1"/>
  </cols>
  <sheetData>
    <row r="1" spans="1:7">
      <c r="A1" s="84"/>
      <c r="B1" s="84"/>
      <c r="C1" s="85" t="s">
        <v>53</v>
      </c>
      <c r="D1" s="85"/>
      <c r="E1" s="85"/>
      <c r="F1" s="86" t="s">
        <v>144</v>
      </c>
      <c r="G1" s="86"/>
    </row>
    <row r="2" spans="1:7">
      <c r="A2" s="84"/>
      <c r="B2" s="84"/>
      <c r="C2" s="85" t="s">
        <v>54</v>
      </c>
      <c r="D2" s="85"/>
      <c r="E2" s="85"/>
      <c r="F2" s="87" t="s">
        <v>145</v>
      </c>
      <c r="G2" s="87"/>
    </row>
    <row r="3" spans="1:7">
      <c r="A3" s="84"/>
      <c r="B3" s="84"/>
      <c r="C3" s="85" t="s">
        <v>55</v>
      </c>
      <c r="D3" s="85"/>
      <c r="E3" s="85"/>
      <c r="F3" s="87" t="s">
        <v>146</v>
      </c>
      <c r="G3" s="87"/>
    </row>
    <row r="4" spans="1:7">
      <c r="A4" s="84"/>
      <c r="B4" s="84"/>
      <c r="C4" s="85" t="s">
        <v>148</v>
      </c>
      <c r="D4" s="85"/>
      <c r="E4" s="85"/>
      <c r="F4" s="87" t="s">
        <v>147</v>
      </c>
      <c r="G4" s="87"/>
    </row>
    <row r="5" spans="1:7" ht="30">
      <c r="A5" s="9" t="s">
        <v>14</v>
      </c>
      <c r="B5" s="10" t="s">
        <v>15</v>
      </c>
      <c r="C5" s="10" t="s">
        <v>16</v>
      </c>
      <c r="D5" s="11" t="s">
        <v>52</v>
      </c>
      <c r="E5" s="11" t="s">
        <v>17</v>
      </c>
      <c r="F5" s="11" t="s">
        <v>18</v>
      </c>
      <c r="G5" s="10" t="s">
        <v>19</v>
      </c>
    </row>
    <row r="6" spans="1:7">
      <c r="A6" s="83" t="s">
        <v>119</v>
      </c>
      <c r="B6" s="34" t="s">
        <v>25</v>
      </c>
      <c r="C6" s="6" t="s">
        <v>126</v>
      </c>
      <c r="D6" s="71">
        <v>684</v>
      </c>
      <c r="E6" s="5">
        <f t="shared" ref="E6" si="0">+D6/9</f>
        <v>76</v>
      </c>
      <c r="F6" s="5">
        <f>E6/60</f>
        <v>1.2666666666666666</v>
      </c>
      <c r="G6" s="8" t="s">
        <v>20</v>
      </c>
    </row>
    <row r="7" spans="1:7">
      <c r="A7" s="83"/>
      <c r="B7" s="34" t="s">
        <v>28</v>
      </c>
      <c r="C7" s="6" t="s">
        <v>127</v>
      </c>
      <c r="D7" s="71">
        <v>45</v>
      </c>
      <c r="E7" s="5">
        <f>D7/9</f>
        <v>5</v>
      </c>
      <c r="F7" s="5">
        <f>E7/60</f>
        <v>8.3333333333333329E-2</v>
      </c>
      <c r="G7" s="8" t="s">
        <v>20</v>
      </c>
    </row>
    <row r="8" spans="1:7">
      <c r="A8" s="83"/>
      <c r="B8" s="34" t="s">
        <v>30</v>
      </c>
      <c r="C8" s="6" t="s">
        <v>128</v>
      </c>
      <c r="D8" s="71">
        <v>27</v>
      </c>
      <c r="E8" s="5">
        <f t="shared" ref="E8:E15" si="1">+D8/9</f>
        <v>3</v>
      </c>
      <c r="F8" s="5">
        <f>+E8/60</f>
        <v>0.05</v>
      </c>
      <c r="G8" s="8" t="s">
        <v>22</v>
      </c>
    </row>
    <row r="9" spans="1:7">
      <c r="A9" s="83"/>
      <c r="B9" s="34" t="s">
        <v>31</v>
      </c>
      <c r="C9" s="6" t="s">
        <v>129</v>
      </c>
      <c r="D9" s="71">
        <v>54</v>
      </c>
      <c r="E9" s="5">
        <f t="shared" si="1"/>
        <v>6</v>
      </c>
      <c r="F9" s="5">
        <f>+E9/60</f>
        <v>0.1</v>
      </c>
      <c r="G9" s="8" t="s">
        <v>22</v>
      </c>
    </row>
    <row r="10" spans="1:7">
      <c r="A10" s="83"/>
      <c r="B10" s="34" t="s">
        <v>121</v>
      </c>
      <c r="C10" s="6" t="s">
        <v>130</v>
      </c>
      <c r="D10" s="71">
        <v>630</v>
      </c>
      <c r="E10" s="5">
        <f t="shared" si="1"/>
        <v>70</v>
      </c>
      <c r="F10" s="5">
        <f>+E10/60</f>
        <v>1.1666666666666667</v>
      </c>
      <c r="G10" s="8" t="s">
        <v>27</v>
      </c>
    </row>
    <row r="11" spans="1:7">
      <c r="A11" s="83"/>
      <c r="B11" s="34" t="s">
        <v>33</v>
      </c>
      <c r="C11" s="6" t="s">
        <v>131</v>
      </c>
      <c r="D11" s="71">
        <v>54</v>
      </c>
      <c r="E11" s="5">
        <f t="shared" si="1"/>
        <v>6</v>
      </c>
      <c r="F11" s="5">
        <f>+E11/60</f>
        <v>0.1</v>
      </c>
      <c r="G11" s="8" t="s">
        <v>27</v>
      </c>
    </row>
    <row r="12" spans="1:7">
      <c r="A12" s="83"/>
      <c r="B12" s="34" t="s">
        <v>35</v>
      </c>
      <c r="C12" s="6" t="s">
        <v>132</v>
      </c>
      <c r="D12" s="71">
        <v>1800</v>
      </c>
      <c r="E12" s="5">
        <f t="shared" si="1"/>
        <v>200</v>
      </c>
      <c r="F12" s="5">
        <f>+E12/60</f>
        <v>3.3333333333333335</v>
      </c>
      <c r="G12" s="8" t="s">
        <v>24</v>
      </c>
    </row>
    <row r="13" spans="1:7">
      <c r="A13" s="83"/>
      <c r="B13" s="34" t="s">
        <v>37</v>
      </c>
      <c r="C13" s="6" t="s">
        <v>133</v>
      </c>
      <c r="D13" s="71">
        <v>500</v>
      </c>
      <c r="E13" s="5">
        <f t="shared" si="1"/>
        <v>55.555555555555557</v>
      </c>
      <c r="F13" s="5">
        <f t="shared" ref="F13:F28" si="2">+E13/60</f>
        <v>0.92592592592592593</v>
      </c>
      <c r="G13" s="8" t="s">
        <v>27</v>
      </c>
    </row>
    <row r="14" spans="1:7">
      <c r="A14" s="83"/>
      <c r="B14" s="34" t="s">
        <v>38</v>
      </c>
      <c r="C14" s="6" t="s">
        <v>134</v>
      </c>
      <c r="D14" s="71">
        <v>1836</v>
      </c>
      <c r="E14" s="5">
        <f t="shared" si="1"/>
        <v>204</v>
      </c>
      <c r="F14" s="5">
        <f t="shared" si="2"/>
        <v>3.4</v>
      </c>
      <c r="G14" s="8" t="s">
        <v>24</v>
      </c>
    </row>
    <row r="15" spans="1:7">
      <c r="A15" s="83"/>
      <c r="B15" s="34" t="s">
        <v>40</v>
      </c>
      <c r="C15" s="6" t="s">
        <v>135</v>
      </c>
      <c r="D15" s="71">
        <v>600</v>
      </c>
      <c r="E15" s="5">
        <f t="shared" si="1"/>
        <v>66.666666666666671</v>
      </c>
      <c r="F15" s="5">
        <f t="shared" si="2"/>
        <v>1.1111111111111112</v>
      </c>
      <c r="G15" s="8" t="s">
        <v>27</v>
      </c>
    </row>
    <row r="16" spans="1:7">
      <c r="A16" s="83"/>
      <c r="B16" s="34" t="s">
        <v>42</v>
      </c>
      <c r="C16" s="6" t="s">
        <v>136</v>
      </c>
      <c r="D16" s="71">
        <v>2430</v>
      </c>
      <c r="E16" s="5">
        <f>D16/9</f>
        <v>270</v>
      </c>
      <c r="F16" s="5">
        <f t="shared" si="2"/>
        <v>4.5</v>
      </c>
      <c r="G16" s="8" t="s">
        <v>24</v>
      </c>
    </row>
    <row r="17" spans="1:7">
      <c r="A17" s="83"/>
      <c r="B17" s="34" t="s">
        <v>45</v>
      </c>
      <c r="C17" s="6" t="s">
        <v>137</v>
      </c>
      <c r="D17" s="71">
        <v>7344</v>
      </c>
      <c r="E17" s="5">
        <f t="shared" ref="E17:E28" si="3">+D17/9</f>
        <v>816</v>
      </c>
      <c r="F17" s="5">
        <f t="shared" si="2"/>
        <v>13.6</v>
      </c>
      <c r="G17" s="8" t="s">
        <v>24</v>
      </c>
    </row>
    <row r="18" spans="1:7" ht="14.25" customHeight="1">
      <c r="A18" s="83"/>
      <c r="B18" s="34" t="s">
        <v>150</v>
      </c>
      <c r="C18" s="6" t="s">
        <v>152</v>
      </c>
      <c r="D18" s="71">
        <v>7610</v>
      </c>
      <c r="E18" s="5">
        <f t="shared" si="3"/>
        <v>845.55555555555554</v>
      </c>
      <c r="F18" s="5">
        <f t="shared" si="2"/>
        <v>14.092592592592592</v>
      </c>
      <c r="G18" s="8" t="s">
        <v>24</v>
      </c>
    </row>
    <row r="19" spans="1:7" ht="14.25" customHeight="1">
      <c r="A19" s="83"/>
      <c r="B19" s="34" t="s">
        <v>151</v>
      </c>
      <c r="C19" s="6" t="s">
        <v>153</v>
      </c>
      <c r="D19" s="71">
        <v>3000</v>
      </c>
      <c r="E19" s="5">
        <f t="shared" si="3"/>
        <v>333.33333333333331</v>
      </c>
      <c r="F19" s="5">
        <f t="shared" si="2"/>
        <v>5.5555555555555554</v>
      </c>
      <c r="G19" s="8" t="s">
        <v>24</v>
      </c>
    </row>
    <row r="20" spans="1:7" ht="14.25" customHeight="1">
      <c r="A20" s="83"/>
      <c r="B20" s="34" t="s">
        <v>48</v>
      </c>
      <c r="C20" s="6" t="s">
        <v>165</v>
      </c>
      <c r="D20" s="71">
        <v>1600</v>
      </c>
      <c r="E20" s="5">
        <f t="shared" si="3"/>
        <v>177.77777777777777</v>
      </c>
      <c r="F20" s="5">
        <f t="shared" si="2"/>
        <v>2.9629629629629628</v>
      </c>
      <c r="G20" s="8" t="s">
        <v>24</v>
      </c>
    </row>
    <row r="21" spans="1:7" ht="14.25" customHeight="1">
      <c r="A21" s="83"/>
      <c r="B21" s="34" t="s">
        <v>49</v>
      </c>
      <c r="C21" s="6" t="s">
        <v>164</v>
      </c>
      <c r="D21" s="71">
        <v>90</v>
      </c>
      <c r="E21" s="5">
        <f t="shared" si="3"/>
        <v>10</v>
      </c>
      <c r="F21" s="5">
        <f t="shared" si="2"/>
        <v>0.16666666666666666</v>
      </c>
      <c r="G21" s="8" t="s">
        <v>24</v>
      </c>
    </row>
    <row r="22" spans="1:7" ht="14.25" customHeight="1">
      <c r="A22" s="83"/>
      <c r="B22" s="34" t="s">
        <v>117</v>
      </c>
      <c r="C22" s="6" t="s">
        <v>163</v>
      </c>
      <c r="D22" s="71">
        <v>6903</v>
      </c>
      <c r="E22" s="5">
        <f t="shared" si="3"/>
        <v>767</v>
      </c>
      <c r="F22" s="5">
        <f t="shared" si="2"/>
        <v>12.783333333333333</v>
      </c>
      <c r="G22" s="8" t="s">
        <v>20</v>
      </c>
    </row>
    <row r="23" spans="1:7">
      <c r="A23" s="83"/>
      <c r="B23" s="70" t="s">
        <v>118</v>
      </c>
      <c r="C23" s="6" t="s">
        <v>158</v>
      </c>
      <c r="D23" s="71">
        <v>4000</v>
      </c>
      <c r="E23" s="5">
        <f t="shared" si="3"/>
        <v>444.44444444444446</v>
      </c>
      <c r="F23" s="5">
        <f t="shared" si="2"/>
        <v>7.4074074074074074</v>
      </c>
      <c r="G23" s="8" t="s">
        <v>20</v>
      </c>
    </row>
    <row r="24" spans="1:7" ht="14.25" customHeight="1">
      <c r="A24" s="83"/>
      <c r="B24" s="34" t="s">
        <v>122</v>
      </c>
      <c r="C24" s="6" t="s">
        <v>157</v>
      </c>
      <c r="D24" s="71">
        <v>2196</v>
      </c>
      <c r="E24" s="5">
        <f t="shared" si="3"/>
        <v>244</v>
      </c>
      <c r="F24" s="5">
        <f t="shared" si="2"/>
        <v>4.0666666666666664</v>
      </c>
      <c r="G24" s="8" t="s">
        <v>47</v>
      </c>
    </row>
    <row r="25" spans="1:7" ht="14.25" customHeight="1">
      <c r="A25" s="83"/>
      <c r="B25" s="34" t="s">
        <v>123</v>
      </c>
      <c r="C25" s="6" t="s">
        <v>156</v>
      </c>
      <c r="D25" s="71">
        <v>1600</v>
      </c>
      <c r="E25" s="5">
        <f t="shared" si="3"/>
        <v>177.77777777777777</v>
      </c>
      <c r="F25" s="5">
        <f t="shared" si="2"/>
        <v>2.9629629629629628</v>
      </c>
      <c r="G25" s="8" t="s">
        <v>155</v>
      </c>
    </row>
    <row r="26" spans="1:7" ht="14.25" customHeight="1">
      <c r="A26" s="83"/>
      <c r="B26" s="34" t="s">
        <v>124</v>
      </c>
      <c r="C26" s="6" t="s">
        <v>162</v>
      </c>
      <c r="D26" s="71">
        <v>720</v>
      </c>
      <c r="E26" s="5">
        <f t="shared" si="3"/>
        <v>80</v>
      </c>
      <c r="F26" s="5">
        <f t="shared" si="2"/>
        <v>1.3333333333333333</v>
      </c>
      <c r="G26" s="8"/>
    </row>
    <row r="27" spans="1:7" ht="14.25" customHeight="1">
      <c r="A27" s="83"/>
      <c r="B27" s="34" t="s">
        <v>125</v>
      </c>
      <c r="C27" s="6" t="s">
        <v>161</v>
      </c>
      <c r="D27" s="71">
        <v>5589</v>
      </c>
      <c r="E27" s="5">
        <f t="shared" si="3"/>
        <v>621</v>
      </c>
      <c r="F27" s="5">
        <f t="shared" si="2"/>
        <v>10.35</v>
      </c>
      <c r="G27" s="8" t="s">
        <v>44</v>
      </c>
    </row>
    <row r="28" spans="1:7" ht="14.25" customHeight="1">
      <c r="A28" s="83"/>
      <c r="B28" s="34" t="s">
        <v>159</v>
      </c>
      <c r="C28" s="6" t="s">
        <v>160</v>
      </c>
      <c r="D28" s="71">
        <v>150</v>
      </c>
      <c r="E28" s="5">
        <f t="shared" si="3"/>
        <v>16.666666666666668</v>
      </c>
      <c r="F28" s="5">
        <f t="shared" si="2"/>
        <v>0.27777777777777779</v>
      </c>
      <c r="G28" s="8" t="s">
        <v>143</v>
      </c>
    </row>
  </sheetData>
  <sheetProtection algorithmName="SHA-512" hashValue="ALU7mHNVWnmn/9r3hOtEJpY4IKDUy+0WFYELugg1Sh4qnUijntDzY52ipKcvb7FoGvx/XTLxYyipD56YJsgQhg==" saltValue="9ETZ1sunC6dWt4GcI20A/Q==" spinCount="100000" sheet="1" selectLockedCells="1" autoFilter="0"/>
  <mergeCells count="10">
    <mergeCell ref="A6:A28"/>
    <mergeCell ref="A1:B4"/>
    <mergeCell ref="C4:E4"/>
    <mergeCell ref="F1:G1"/>
    <mergeCell ref="F2:G2"/>
    <mergeCell ref="F3:G3"/>
    <mergeCell ref="F4:G4"/>
    <mergeCell ref="C1:E1"/>
    <mergeCell ref="C2:E2"/>
    <mergeCell ref="C3:E3"/>
  </mergeCells>
  <pageMargins left="0.74803149606299213" right="0.74803149606299213" top="0.98425196850393704" bottom="0.98425196850393704" header="0" footer="0"/>
  <pageSetup scale="5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B1:K172"/>
  <sheetViews>
    <sheetView showGridLines="0" tabSelected="1" zoomScale="98" zoomScaleNormal="98" workbookViewId="0">
      <selection activeCell="C6" sqref="C6"/>
    </sheetView>
  </sheetViews>
  <sheetFormatPr baseColWidth="10" defaultRowHeight="15"/>
  <cols>
    <col min="7" max="7" width="9.5703125" customWidth="1"/>
    <col min="8" max="8" width="12.5703125" style="12" customWidth="1"/>
    <col min="9" max="9" width="9" style="12" customWidth="1"/>
    <col min="10" max="10" width="71" style="12" customWidth="1"/>
    <col min="11" max="11" width="11.42578125" style="56" hidden="1" customWidth="1"/>
    <col min="12" max="12" width="30.140625" bestFit="1" customWidth="1"/>
    <col min="14" max="14" width="30.140625" bestFit="1" customWidth="1"/>
    <col min="16" max="16" width="75.7109375" bestFit="1" customWidth="1"/>
  </cols>
  <sheetData>
    <row r="1" spans="2:11">
      <c r="H1"/>
      <c r="I1"/>
      <c r="J1"/>
    </row>
    <row r="2" spans="2:11">
      <c r="H2"/>
      <c r="I2"/>
      <c r="J2"/>
    </row>
    <row r="3" spans="2:11" ht="31.5" customHeight="1">
      <c r="H3" s="35" t="s">
        <v>14</v>
      </c>
      <c r="I3" s="36" t="s">
        <v>15</v>
      </c>
      <c r="J3" s="36" t="s">
        <v>16</v>
      </c>
    </row>
    <row r="4" spans="2:11">
      <c r="H4" s="90" t="s">
        <v>119</v>
      </c>
      <c r="I4" s="34" t="s">
        <v>25</v>
      </c>
      <c r="J4" s="6" t="s">
        <v>62</v>
      </c>
      <c r="K4" s="6" t="s">
        <v>126</v>
      </c>
    </row>
    <row r="5" spans="2:11">
      <c r="H5" s="90"/>
      <c r="I5" s="34" t="s">
        <v>28</v>
      </c>
      <c r="J5" s="6" t="s">
        <v>61</v>
      </c>
      <c r="K5" s="6" t="s">
        <v>127</v>
      </c>
    </row>
    <row r="6" spans="2:11">
      <c r="B6" s="30" t="s">
        <v>63</v>
      </c>
      <c r="C6" s="46"/>
      <c r="D6" s="46"/>
      <c r="E6" s="32"/>
      <c r="H6" s="90"/>
      <c r="I6" s="34" t="s">
        <v>30</v>
      </c>
      <c r="J6" s="6" t="s">
        <v>21</v>
      </c>
      <c r="K6" s="6" t="s">
        <v>128</v>
      </c>
    </row>
    <row r="7" spans="2:11">
      <c r="B7" s="30"/>
      <c r="H7" s="90"/>
      <c r="I7" s="34" t="s">
        <v>31</v>
      </c>
      <c r="J7" s="6" t="s">
        <v>23</v>
      </c>
      <c r="K7" s="6" t="s">
        <v>129</v>
      </c>
    </row>
    <row r="8" spans="2:11">
      <c r="B8" s="30" t="s">
        <v>64</v>
      </c>
      <c r="C8" s="55"/>
      <c r="D8" s="55"/>
      <c r="E8" s="55"/>
      <c r="H8" s="90"/>
      <c r="I8" s="34" t="s">
        <v>121</v>
      </c>
      <c r="J8" s="6" t="s">
        <v>26</v>
      </c>
      <c r="K8" s="6" t="s">
        <v>130</v>
      </c>
    </row>
    <row r="9" spans="2:11">
      <c r="B9" s="30"/>
      <c r="C9" s="82"/>
      <c r="F9" s="29"/>
      <c r="H9" s="90"/>
      <c r="I9" s="34" t="s">
        <v>33</v>
      </c>
      <c r="J9" s="6" t="s">
        <v>29</v>
      </c>
      <c r="K9" s="6" t="s">
        <v>131</v>
      </c>
    </row>
    <row r="10" spans="2:11">
      <c r="B10" s="30" t="s">
        <v>65</v>
      </c>
      <c r="C10" s="33"/>
      <c r="H10" s="90"/>
      <c r="I10" s="34" t="s">
        <v>35</v>
      </c>
      <c r="J10" s="6" t="s">
        <v>41</v>
      </c>
      <c r="K10" s="6" t="s">
        <v>132</v>
      </c>
    </row>
    <row r="11" spans="2:11">
      <c r="B11" s="30"/>
      <c r="H11" s="90"/>
      <c r="I11" s="34" t="s">
        <v>37</v>
      </c>
      <c r="J11" s="6" t="s">
        <v>13</v>
      </c>
      <c r="K11" s="6" t="s">
        <v>133</v>
      </c>
    </row>
    <row r="12" spans="2:11">
      <c r="B12" s="30" t="s">
        <v>67</v>
      </c>
      <c r="C12" s="55"/>
      <c r="H12" s="90"/>
      <c r="I12" s="34" t="s">
        <v>38</v>
      </c>
      <c r="J12" s="6" t="s">
        <v>36</v>
      </c>
      <c r="K12" s="6" t="s">
        <v>134</v>
      </c>
    </row>
    <row r="13" spans="2:11">
      <c r="B13" s="30"/>
      <c r="C13" s="41"/>
      <c r="H13" s="90"/>
      <c r="I13" s="34" t="s">
        <v>40</v>
      </c>
      <c r="J13" s="6" t="s">
        <v>32</v>
      </c>
      <c r="K13" s="6" t="s">
        <v>135</v>
      </c>
    </row>
    <row r="14" spans="2:11">
      <c r="B14" s="30" t="s">
        <v>66</v>
      </c>
      <c r="C14" s="42"/>
      <c r="H14" s="90"/>
      <c r="I14" s="34" t="s">
        <v>42</v>
      </c>
      <c r="J14" s="6" t="s">
        <v>39</v>
      </c>
      <c r="K14" s="6" t="s">
        <v>136</v>
      </c>
    </row>
    <row r="15" spans="2:11">
      <c r="B15" s="30"/>
      <c r="C15" s="41"/>
      <c r="H15" s="90"/>
      <c r="I15" s="34" t="s">
        <v>45</v>
      </c>
      <c r="J15" s="6" t="s">
        <v>34</v>
      </c>
      <c r="K15" s="6" t="s">
        <v>137</v>
      </c>
    </row>
    <row r="16" spans="2:11">
      <c r="B16" s="30" t="s">
        <v>68</v>
      </c>
      <c r="C16" s="55"/>
      <c r="D16" s="55"/>
      <c r="E16" s="55"/>
      <c r="F16" s="31"/>
      <c r="H16" s="90"/>
      <c r="I16" s="34" t="s">
        <v>150</v>
      </c>
      <c r="J16" s="6" t="s">
        <v>138</v>
      </c>
      <c r="K16" s="6" t="s">
        <v>152</v>
      </c>
    </row>
    <row r="17" spans="3:11">
      <c r="C17" s="43"/>
      <c r="H17" s="90"/>
      <c r="I17" s="34" t="s">
        <v>151</v>
      </c>
      <c r="J17" s="6" t="s">
        <v>166</v>
      </c>
      <c r="K17" s="6" t="s">
        <v>153</v>
      </c>
    </row>
    <row r="18" spans="3:11">
      <c r="C18" s="43"/>
      <c r="H18" s="90"/>
      <c r="I18" s="34" t="s">
        <v>48</v>
      </c>
      <c r="J18" s="6" t="s">
        <v>139</v>
      </c>
      <c r="K18" s="6" t="s">
        <v>165</v>
      </c>
    </row>
    <row r="19" spans="3:11">
      <c r="H19" s="90"/>
      <c r="I19" s="34" t="s">
        <v>49</v>
      </c>
      <c r="J19" s="6" t="s">
        <v>140</v>
      </c>
      <c r="K19" s="6" t="s">
        <v>164</v>
      </c>
    </row>
    <row r="20" spans="3:11">
      <c r="H20" s="90"/>
      <c r="I20" s="34" t="s">
        <v>117</v>
      </c>
      <c r="J20" s="6" t="s">
        <v>141</v>
      </c>
      <c r="K20" s="6" t="s">
        <v>163</v>
      </c>
    </row>
    <row r="21" spans="3:11">
      <c r="H21" s="90"/>
      <c r="I21" s="70" t="s">
        <v>118</v>
      </c>
      <c r="J21" s="6" t="s">
        <v>142</v>
      </c>
      <c r="K21" s="6" t="s">
        <v>158</v>
      </c>
    </row>
    <row r="22" spans="3:11">
      <c r="H22" s="90"/>
      <c r="I22" s="34" t="s">
        <v>122</v>
      </c>
      <c r="J22" s="6" t="s">
        <v>46</v>
      </c>
      <c r="K22" s="6" t="s">
        <v>157</v>
      </c>
    </row>
    <row r="23" spans="3:11">
      <c r="H23" s="90"/>
      <c r="I23" s="34" t="s">
        <v>123</v>
      </c>
      <c r="J23" s="6" t="s">
        <v>154</v>
      </c>
      <c r="K23" s="6" t="s">
        <v>156</v>
      </c>
    </row>
    <row r="24" spans="3:11">
      <c r="H24" s="90"/>
      <c r="I24" s="34" t="s">
        <v>124</v>
      </c>
      <c r="J24" s="6" t="s">
        <v>167</v>
      </c>
      <c r="K24" s="6" t="s">
        <v>162</v>
      </c>
    </row>
    <row r="25" spans="3:11">
      <c r="H25" s="90"/>
      <c r="I25" s="34" t="s">
        <v>125</v>
      </c>
      <c r="J25" s="6" t="s">
        <v>43</v>
      </c>
      <c r="K25" s="6" t="s">
        <v>161</v>
      </c>
    </row>
    <row r="26" spans="3:11">
      <c r="H26" s="90"/>
      <c r="I26" s="34" t="s">
        <v>159</v>
      </c>
      <c r="J26" s="6" t="s">
        <v>120</v>
      </c>
      <c r="K26" s="6" t="s">
        <v>160</v>
      </c>
    </row>
    <row r="27" spans="3:11">
      <c r="H27" s="72"/>
      <c r="I27" s="73"/>
      <c r="J27" s="68"/>
    </row>
    <row r="28" spans="3:11">
      <c r="H28" s="72"/>
      <c r="I28" s="73"/>
      <c r="J28" s="68"/>
    </row>
    <row r="29" spans="3:11">
      <c r="H29" s="72"/>
      <c r="I29" s="73"/>
      <c r="J29" s="68"/>
    </row>
    <row r="30" spans="3:11">
      <c r="H30" s="72"/>
      <c r="I30" s="73"/>
      <c r="J30" s="68"/>
    </row>
    <row r="31" spans="3:11">
      <c r="H31" s="72"/>
      <c r="I31" s="73"/>
      <c r="J31" s="68"/>
    </row>
    <row r="32" spans="3:11">
      <c r="H32" s="72"/>
      <c r="I32" s="73"/>
      <c r="J32" s="68"/>
    </row>
    <row r="33" spans="2:10">
      <c r="H33" s="72"/>
      <c r="I33" s="73"/>
      <c r="J33" s="68"/>
    </row>
    <row r="34" spans="2:10">
      <c r="H34" s="72"/>
      <c r="I34" s="73"/>
      <c r="J34" s="68"/>
    </row>
    <row r="35" spans="2:10">
      <c r="H35" s="72"/>
      <c r="I35" s="73"/>
      <c r="J35" s="68"/>
    </row>
    <row r="36" spans="2:10">
      <c r="B36" s="30"/>
      <c r="H36" s="72"/>
      <c r="I36" s="73"/>
      <c r="J36" s="68"/>
    </row>
    <row r="37" spans="2:10">
      <c r="B37" s="30"/>
      <c r="H37" s="72"/>
      <c r="I37" s="73"/>
      <c r="J37" s="68"/>
    </row>
    <row r="38" spans="2:10">
      <c r="B38" s="30"/>
      <c r="H38" s="72"/>
      <c r="I38" s="73"/>
      <c r="J38" s="74"/>
    </row>
    <row r="39" spans="2:10">
      <c r="B39" s="30"/>
      <c r="H39" s="88"/>
      <c r="I39" s="60"/>
      <c r="J39" s="61"/>
    </row>
    <row r="40" spans="2:10">
      <c r="B40" s="30"/>
      <c r="H40" s="88"/>
      <c r="I40" s="60"/>
      <c r="J40" s="62"/>
    </row>
    <row r="41" spans="2:10">
      <c r="B41" s="30"/>
      <c r="H41" s="88"/>
      <c r="I41" s="60"/>
      <c r="J41" s="61"/>
    </row>
    <row r="42" spans="2:10">
      <c r="B42" s="30"/>
      <c r="H42" s="88"/>
      <c r="I42" s="60"/>
      <c r="J42" s="61"/>
    </row>
    <row r="43" spans="2:10">
      <c r="B43" s="30"/>
      <c r="H43" s="88"/>
      <c r="I43" s="60"/>
      <c r="J43" s="61"/>
    </row>
    <row r="44" spans="2:10">
      <c r="B44" s="30"/>
      <c r="H44" s="88"/>
      <c r="I44" s="60"/>
      <c r="J44" s="61"/>
    </row>
    <row r="45" spans="2:10">
      <c r="B45" s="30"/>
      <c r="H45" s="89"/>
      <c r="I45" s="60"/>
      <c r="J45" s="61"/>
    </row>
    <row r="46" spans="2:10">
      <c r="B46" s="30"/>
      <c r="H46" s="89"/>
      <c r="I46" s="60"/>
      <c r="J46" s="61"/>
    </row>
    <row r="47" spans="2:10">
      <c r="H47" s="89"/>
      <c r="I47" s="60"/>
      <c r="J47" s="61"/>
    </row>
    <row r="48" spans="2:10">
      <c r="H48" s="89"/>
      <c r="I48" s="60"/>
      <c r="J48" s="63"/>
    </row>
    <row r="49" spans="8:11">
      <c r="H49" s="89"/>
      <c r="I49" s="60"/>
      <c r="J49" s="61"/>
    </row>
    <row r="50" spans="8:11">
      <c r="H50" s="88"/>
      <c r="I50" s="60"/>
      <c r="J50" s="64"/>
    </row>
    <row r="51" spans="8:11">
      <c r="H51" s="88"/>
      <c r="I51" s="60"/>
      <c r="J51" s="64"/>
    </row>
    <row r="52" spans="8:11">
      <c r="H52" s="88"/>
      <c r="I52" s="60"/>
      <c r="J52" s="64"/>
    </row>
    <row r="53" spans="8:11">
      <c r="H53" s="88"/>
      <c r="I53" s="60"/>
      <c r="J53" s="64"/>
    </row>
    <row r="54" spans="8:11">
      <c r="H54" s="88"/>
      <c r="I54" s="60"/>
      <c r="J54" s="61"/>
    </row>
    <row r="55" spans="8:11">
      <c r="H55" s="88"/>
      <c r="I55" s="60"/>
      <c r="J55" s="61"/>
    </row>
    <row r="56" spans="8:11">
      <c r="H56" s="88"/>
      <c r="I56" s="60"/>
      <c r="J56" s="61"/>
    </row>
    <row r="57" spans="8:11">
      <c r="H57" s="88"/>
      <c r="I57" s="60"/>
      <c r="J57" s="61"/>
    </row>
    <row r="58" spans="8:11">
      <c r="H58" s="88"/>
      <c r="I58" s="60"/>
      <c r="J58" s="64"/>
    </row>
    <row r="59" spans="8:11">
      <c r="H59" s="88"/>
      <c r="I59" s="60"/>
      <c r="J59" s="64"/>
    </row>
    <row r="60" spans="8:11">
      <c r="H60" s="88"/>
      <c r="I60" s="60"/>
      <c r="J60" s="61"/>
    </row>
    <row r="61" spans="8:11" s="59" customFormat="1">
      <c r="H61" s="88"/>
      <c r="I61" s="60"/>
      <c r="J61" s="61"/>
      <c r="K61" s="56"/>
    </row>
    <row r="62" spans="8:11" s="59" customFormat="1">
      <c r="H62" s="88"/>
      <c r="I62" s="60"/>
      <c r="J62" s="61"/>
      <c r="K62" s="56"/>
    </row>
    <row r="63" spans="8:11">
      <c r="H63" s="88"/>
      <c r="I63" s="60"/>
      <c r="J63" s="61"/>
      <c r="K63" s="56" t="s">
        <v>69</v>
      </c>
    </row>
    <row r="64" spans="8:11">
      <c r="H64" s="88"/>
      <c r="I64" s="60"/>
      <c r="J64" s="61"/>
      <c r="K64" s="56" t="s">
        <v>70</v>
      </c>
    </row>
    <row r="65" spans="8:11">
      <c r="H65" s="88"/>
      <c r="I65" s="60"/>
      <c r="J65" s="61"/>
      <c r="K65" s="56" t="s">
        <v>71</v>
      </c>
    </row>
    <row r="66" spans="8:11">
      <c r="H66" s="88"/>
      <c r="I66" s="60"/>
      <c r="J66" s="61"/>
      <c r="K66" s="56" t="s">
        <v>72</v>
      </c>
    </row>
    <row r="67" spans="8:11">
      <c r="H67" s="88"/>
      <c r="I67" s="60"/>
      <c r="J67" s="61"/>
      <c r="K67" s="56" t="s">
        <v>73</v>
      </c>
    </row>
    <row r="68" spans="8:11">
      <c r="H68" s="88"/>
      <c r="I68" s="60"/>
      <c r="J68" s="61"/>
      <c r="K68" s="56" t="s">
        <v>74</v>
      </c>
    </row>
    <row r="69" spans="8:11">
      <c r="H69" s="88"/>
      <c r="I69" s="60"/>
      <c r="J69" s="61"/>
      <c r="K69" s="56" t="s">
        <v>75</v>
      </c>
    </row>
    <row r="70" spans="8:11">
      <c r="H70" s="88"/>
      <c r="I70" s="60"/>
      <c r="J70" s="61"/>
      <c r="K70" s="56" t="s">
        <v>76</v>
      </c>
    </row>
    <row r="71" spans="8:11">
      <c r="H71" s="88"/>
      <c r="I71" s="60"/>
      <c r="J71" s="62"/>
      <c r="K71" s="56" t="s">
        <v>77</v>
      </c>
    </row>
    <row r="72" spans="8:11">
      <c r="H72" s="88"/>
      <c r="I72" s="60"/>
      <c r="J72" s="61"/>
      <c r="K72" s="56" t="s">
        <v>78</v>
      </c>
    </row>
    <row r="73" spans="8:11">
      <c r="H73" s="88"/>
      <c r="I73" s="60"/>
      <c r="J73" s="61"/>
      <c r="K73" s="56" t="s">
        <v>79</v>
      </c>
    </row>
    <row r="74" spans="8:11">
      <c r="H74" s="88"/>
      <c r="I74" s="60"/>
      <c r="J74" s="61"/>
      <c r="K74" s="56" t="s">
        <v>80</v>
      </c>
    </row>
    <row r="75" spans="8:11">
      <c r="H75" s="88"/>
      <c r="I75" s="60"/>
      <c r="J75" s="61"/>
      <c r="K75" s="56" t="s">
        <v>81</v>
      </c>
    </row>
    <row r="76" spans="8:11">
      <c r="H76" s="88"/>
      <c r="I76" s="60"/>
      <c r="J76" s="61"/>
      <c r="K76" s="56" t="s">
        <v>82</v>
      </c>
    </row>
    <row r="77" spans="8:11">
      <c r="H77" s="88"/>
      <c r="I77" s="60"/>
      <c r="J77" s="61"/>
      <c r="K77" s="56" t="s">
        <v>83</v>
      </c>
    </row>
    <row r="78" spans="8:11">
      <c r="H78" s="88"/>
      <c r="I78" s="60"/>
      <c r="J78" s="61"/>
      <c r="K78" s="56" t="s">
        <v>84</v>
      </c>
    </row>
    <row r="79" spans="8:11">
      <c r="H79" s="88"/>
      <c r="I79" s="60"/>
      <c r="J79" s="61"/>
      <c r="K79" s="56" t="s">
        <v>85</v>
      </c>
    </row>
    <row r="80" spans="8:11">
      <c r="H80" s="88"/>
      <c r="I80" s="60"/>
      <c r="J80" s="61"/>
      <c r="K80" s="56" t="s">
        <v>86</v>
      </c>
    </row>
    <row r="81" spans="8:11">
      <c r="H81" s="88"/>
      <c r="I81" s="60"/>
      <c r="J81" s="61"/>
      <c r="K81" s="56" t="s">
        <v>87</v>
      </c>
    </row>
    <row r="82" spans="8:11">
      <c r="H82" s="88"/>
      <c r="I82" s="60"/>
      <c r="J82" s="61"/>
      <c r="K82" s="56" t="s">
        <v>88</v>
      </c>
    </row>
    <row r="83" spans="8:11">
      <c r="H83" s="88"/>
      <c r="I83" s="60"/>
      <c r="J83" s="61"/>
      <c r="K83" s="56" t="s">
        <v>89</v>
      </c>
    </row>
    <row r="84" spans="8:11">
      <c r="H84" s="88"/>
      <c r="I84" s="60"/>
      <c r="J84" s="61"/>
      <c r="K84" s="56" t="s">
        <v>90</v>
      </c>
    </row>
    <row r="85" spans="8:11">
      <c r="H85" s="88"/>
      <c r="I85" s="60"/>
      <c r="J85" s="61"/>
      <c r="K85" s="56" t="s">
        <v>91</v>
      </c>
    </row>
    <row r="86" spans="8:11">
      <c r="H86" s="88"/>
      <c r="I86" s="60"/>
      <c r="J86" s="61"/>
      <c r="K86" s="56" t="s">
        <v>92</v>
      </c>
    </row>
    <row r="87" spans="8:11">
      <c r="H87" s="88"/>
      <c r="I87" s="60"/>
      <c r="J87" s="62"/>
      <c r="K87" s="56" t="s">
        <v>93</v>
      </c>
    </row>
    <row r="88" spans="8:11">
      <c r="H88" s="88"/>
      <c r="I88" s="60"/>
      <c r="J88" s="61"/>
      <c r="K88" s="56" t="s">
        <v>94</v>
      </c>
    </row>
    <row r="89" spans="8:11">
      <c r="H89" s="88"/>
      <c r="I89" s="60"/>
      <c r="J89" s="62"/>
      <c r="K89" s="56" t="s">
        <v>95</v>
      </c>
    </row>
    <row r="90" spans="8:11">
      <c r="H90" s="88"/>
      <c r="I90" s="60"/>
      <c r="J90" s="62"/>
      <c r="K90" s="56" t="s">
        <v>96</v>
      </c>
    </row>
    <row r="91" spans="8:11">
      <c r="H91" s="88"/>
      <c r="I91" s="60"/>
      <c r="J91" s="62"/>
      <c r="K91" s="56" t="s">
        <v>97</v>
      </c>
    </row>
    <row r="92" spans="8:11">
      <c r="H92" s="88"/>
      <c r="I92" s="60"/>
      <c r="J92" s="62"/>
      <c r="K92" s="56" t="s">
        <v>98</v>
      </c>
    </row>
    <row r="93" spans="8:11">
      <c r="H93" s="88"/>
      <c r="I93" s="60"/>
      <c r="J93" s="62"/>
      <c r="K93" s="56" t="s">
        <v>99</v>
      </c>
    </row>
    <row r="94" spans="8:11">
      <c r="H94" s="88"/>
      <c r="I94" s="60"/>
      <c r="J94" s="62"/>
      <c r="K94" s="56" t="s">
        <v>100</v>
      </c>
    </row>
    <row r="95" spans="8:11">
      <c r="H95" s="88"/>
      <c r="I95" s="60"/>
      <c r="J95" s="62"/>
      <c r="K95" s="56" t="s">
        <v>101</v>
      </c>
    </row>
    <row r="96" spans="8:11">
      <c r="H96" s="88"/>
      <c r="I96" s="60"/>
      <c r="J96" s="62"/>
      <c r="K96" s="56" t="s">
        <v>102</v>
      </c>
    </row>
    <row r="97" spans="8:11">
      <c r="H97" s="88"/>
      <c r="I97" s="60"/>
      <c r="J97" s="62"/>
      <c r="K97" s="56" t="s">
        <v>103</v>
      </c>
    </row>
    <row r="98" spans="8:11">
      <c r="H98" s="88"/>
      <c r="I98" s="60"/>
      <c r="J98" s="62"/>
      <c r="K98" s="56" t="s">
        <v>104</v>
      </c>
    </row>
    <row r="99" spans="8:11">
      <c r="H99" s="88"/>
      <c r="I99" s="60"/>
      <c r="J99" s="62"/>
      <c r="K99" s="56" t="s">
        <v>105</v>
      </c>
    </row>
    <row r="100" spans="8:11">
      <c r="H100" s="88"/>
      <c r="I100" s="60"/>
      <c r="J100" s="62"/>
      <c r="K100" s="56" t="s">
        <v>106</v>
      </c>
    </row>
    <row r="101" spans="8:11">
      <c r="H101" s="88"/>
      <c r="I101" s="60"/>
      <c r="J101" s="62"/>
      <c r="K101" s="56" t="s">
        <v>107</v>
      </c>
    </row>
    <row r="102" spans="8:11">
      <c r="H102" s="88"/>
      <c r="I102" s="60"/>
      <c r="J102" s="62"/>
      <c r="K102" s="56" t="s">
        <v>108</v>
      </c>
    </row>
    <row r="103" spans="8:11">
      <c r="H103" s="88"/>
      <c r="I103" s="60"/>
      <c r="J103" s="61"/>
      <c r="K103" s="56" t="s">
        <v>109</v>
      </c>
    </row>
    <row r="104" spans="8:11">
      <c r="H104" s="88"/>
      <c r="I104" s="60"/>
      <c r="J104" s="61"/>
      <c r="K104" s="56" t="s">
        <v>110</v>
      </c>
    </row>
    <row r="105" spans="8:11">
      <c r="H105" s="88"/>
      <c r="I105" s="60"/>
      <c r="J105" s="61"/>
      <c r="K105" s="56" t="s">
        <v>111</v>
      </c>
    </row>
    <row r="106" spans="8:11">
      <c r="H106" s="88"/>
      <c r="I106" s="60"/>
      <c r="J106" s="61"/>
      <c r="K106" s="56" t="s">
        <v>112</v>
      </c>
    </row>
    <row r="107" spans="8:11">
      <c r="H107" s="88"/>
      <c r="I107" s="60"/>
      <c r="J107" s="61"/>
      <c r="K107" s="56" t="s">
        <v>113</v>
      </c>
    </row>
    <row r="108" spans="8:11">
      <c r="H108" s="88"/>
      <c r="I108" s="60"/>
      <c r="J108" s="61"/>
      <c r="K108" s="56" t="s">
        <v>114</v>
      </c>
    </row>
    <row r="109" spans="8:11">
      <c r="H109" s="88"/>
      <c r="I109" s="60"/>
      <c r="J109" s="61"/>
      <c r="K109" s="56" t="s">
        <v>115</v>
      </c>
    </row>
    <row r="110" spans="8:11">
      <c r="H110" s="65"/>
      <c r="I110" s="65"/>
      <c r="J110" s="65"/>
    </row>
    <row r="111" spans="8:11">
      <c r="H111" s="89"/>
      <c r="I111" s="66"/>
      <c r="J111" s="67"/>
      <c r="K111" s="57" t="str">
        <f>CONCATENATE(I111," ",J111)</f>
        <v xml:space="preserve"> </v>
      </c>
    </row>
    <row r="112" spans="8:11">
      <c r="H112" s="89"/>
      <c r="I112" s="66"/>
      <c r="J112" s="64"/>
      <c r="K112" s="57" t="str">
        <f t="shared" ref="K112:K172" si="0">CONCATENATE(I112," ",J112)</f>
        <v xml:space="preserve"> </v>
      </c>
    </row>
    <row r="113" spans="8:11">
      <c r="H113" s="89"/>
      <c r="I113" s="66"/>
      <c r="J113" s="64"/>
      <c r="K113" s="57" t="str">
        <f t="shared" si="0"/>
        <v xml:space="preserve"> </v>
      </c>
    </row>
    <row r="114" spans="8:11">
      <c r="H114" s="89"/>
      <c r="I114" s="66"/>
      <c r="J114" s="64"/>
      <c r="K114" s="57" t="str">
        <f t="shared" si="0"/>
        <v xml:space="preserve"> </v>
      </c>
    </row>
    <row r="115" spans="8:11">
      <c r="H115" s="89"/>
      <c r="I115" s="66"/>
      <c r="J115" s="64"/>
      <c r="K115" s="57" t="str">
        <f t="shared" si="0"/>
        <v xml:space="preserve"> </v>
      </c>
    </row>
    <row r="116" spans="8:11">
      <c r="H116" s="89"/>
      <c r="I116" s="66"/>
      <c r="J116" s="64"/>
      <c r="K116" s="57" t="str">
        <f t="shared" si="0"/>
        <v xml:space="preserve"> </v>
      </c>
    </row>
    <row r="117" spans="8:11">
      <c r="H117" s="89"/>
      <c r="I117" s="66"/>
      <c r="J117" s="64"/>
      <c r="K117" s="57" t="str">
        <f t="shared" si="0"/>
        <v xml:space="preserve"> </v>
      </c>
    </row>
    <row r="118" spans="8:11">
      <c r="H118" s="89"/>
      <c r="I118" s="66"/>
      <c r="J118" s="64"/>
      <c r="K118" s="57" t="str">
        <f t="shared" si="0"/>
        <v xml:space="preserve"> </v>
      </c>
    </row>
    <row r="119" spans="8:11">
      <c r="H119" s="89"/>
      <c r="I119" s="66"/>
      <c r="J119" s="64"/>
      <c r="K119" s="57" t="str">
        <f t="shared" si="0"/>
        <v xml:space="preserve"> </v>
      </c>
    </row>
    <row r="120" spans="8:11">
      <c r="H120" s="89"/>
      <c r="I120" s="66"/>
      <c r="J120" s="64"/>
      <c r="K120" s="57" t="str">
        <f t="shared" si="0"/>
        <v xml:space="preserve"> </v>
      </c>
    </row>
    <row r="121" spans="8:11">
      <c r="H121" s="89"/>
      <c r="I121" s="66"/>
      <c r="J121" s="64"/>
      <c r="K121" s="57" t="str">
        <f t="shared" si="0"/>
        <v xml:space="preserve"> </v>
      </c>
    </row>
    <row r="122" spans="8:11">
      <c r="H122" s="89"/>
      <c r="I122" s="66"/>
      <c r="J122" s="68"/>
      <c r="K122" s="57" t="str">
        <f t="shared" si="0"/>
        <v xml:space="preserve"> </v>
      </c>
    </row>
    <row r="123" spans="8:11">
      <c r="H123" s="89"/>
      <c r="I123" s="66"/>
      <c r="J123" s="64"/>
      <c r="K123" s="57" t="str">
        <f t="shared" si="0"/>
        <v xml:space="preserve"> </v>
      </c>
    </row>
    <row r="124" spans="8:11">
      <c r="H124" s="89"/>
      <c r="I124" s="66"/>
      <c r="J124" s="64"/>
      <c r="K124" s="57" t="str">
        <f t="shared" si="0"/>
        <v xml:space="preserve"> </v>
      </c>
    </row>
    <row r="125" spans="8:11">
      <c r="H125" s="89"/>
      <c r="I125" s="66"/>
      <c r="J125" s="64"/>
      <c r="K125" s="57" t="str">
        <f t="shared" si="0"/>
        <v xml:space="preserve"> </v>
      </c>
    </row>
    <row r="126" spans="8:11">
      <c r="H126" s="89"/>
      <c r="I126" s="66"/>
      <c r="J126" s="64"/>
      <c r="K126" s="57" t="str">
        <f t="shared" si="0"/>
        <v xml:space="preserve"> </v>
      </c>
    </row>
    <row r="127" spans="8:11">
      <c r="H127" s="89"/>
      <c r="I127" s="66"/>
      <c r="J127" s="64"/>
      <c r="K127" s="57" t="str">
        <f t="shared" si="0"/>
        <v xml:space="preserve"> </v>
      </c>
    </row>
    <row r="128" spans="8:11">
      <c r="H128" s="89"/>
      <c r="I128" s="66"/>
      <c r="J128" s="64"/>
      <c r="K128" s="57" t="str">
        <f t="shared" si="0"/>
        <v xml:space="preserve"> </v>
      </c>
    </row>
    <row r="129" spans="8:11">
      <c r="H129" s="89"/>
      <c r="I129" s="66"/>
      <c r="J129" s="64"/>
      <c r="K129" s="57" t="str">
        <f t="shared" si="0"/>
        <v xml:space="preserve"> </v>
      </c>
    </row>
    <row r="130" spans="8:11">
      <c r="H130" s="89"/>
      <c r="I130" s="69"/>
      <c r="J130" s="64"/>
      <c r="K130" s="57" t="str">
        <f t="shared" si="0"/>
        <v xml:space="preserve"> </v>
      </c>
    </row>
    <row r="131" spans="8:11">
      <c r="H131" s="89"/>
      <c r="I131" s="69"/>
      <c r="J131" s="68"/>
      <c r="K131" s="57" t="str">
        <f t="shared" si="0"/>
        <v xml:space="preserve"> </v>
      </c>
    </row>
    <row r="132" spans="8:11">
      <c r="H132" s="89"/>
      <c r="I132" s="69"/>
      <c r="J132" s="68"/>
      <c r="K132" s="57" t="str">
        <f t="shared" si="0"/>
        <v xml:space="preserve"> </v>
      </c>
    </row>
    <row r="133" spans="8:11">
      <c r="H133" s="89"/>
      <c r="I133" s="69"/>
      <c r="J133" s="68"/>
      <c r="K133" s="57" t="str">
        <f t="shared" si="0"/>
        <v xml:space="preserve"> </v>
      </c>
    </row>
    <row r="134" spans="8:11">
      <c r="H134" s="89"/>
      <c r="I134" s="69"/>
      <c r="J134" s="68"/>
      <c r="K134" s="57" t="str">
        <f t="shared" si="0"/>
        <v xml:space="preserve"> </v>
      </c>
    </row>
    <row r="135" spans="8:11">
      <c r="H135" s="89"/>
      <c r="I135" s="69"/>
      <c r="J135" s="68"/>
      <c r="K135" s="57" t="str">
        <f t="shared" si="0"/>
        <v xml:space="preserve"> </v>
      </c>
    </row>
    <row r="136" spans="8:11">
      <c r="H136" s="89"/>
      <c r="I136" s="69"/>
      <c r="J136" s="62"/>
      <c r="K136" s="57" t="str">
        <f t="shared" si="0"/>
        <v xml:space="preserve"> </v>
      </c>
    </row>
    <row r="137" spans="8:11">
      <c r="H137" s="89"/>
      <c r="I137" s="69"/>
      <c r="J137" s="61"/>
      <c r="K137" s="57" t="str">
        <f t="shared" si="0"/>
        <v xml:space="preserve"> </v>
      </c>
    </row>
    <row r="138" spans="8:11">
      <c r="H138" s="89"/>
      <c r="I138" s="69"/>
      <c r="J138" s="62"/>
      <c r="K138" s="57" t="str">
        <f t="shared" si="0"/>
        <v xml:space="preserve"> </v>
      </c>
    </row>
    <row r="139" spans="8:11">
      <c r="H139" s="89"/>
      <c r="I139" s="69"/>
      <c r="J139" s="61"/>
      <c r="K139" s="57" t="str">
        <f t="shared" si="0"/>
        <v xml:space="preserve"> </v>
      </c>
    </row>
    <row r="140" spans="8:11">
      <c r="H140" s="89"/>
      <c r="I140" s="69"/>
      <c r="J140" s="61"/>
      <c r="K140" s="57" t="str">
        <f t="shared" si="0"/>
        <v xml:space="preserve"> </v>
      </c>
    </row>
    <row r="141" spans="8:11">
      <c r="H141" s="89"/>
      <c r="I141" s="69"/>
      <c r="J141" s="61"/>
      <c r="K141" s="57" t="str">
        <f t="shared" si="0"/>
        <v xml:space="preserve"> </v>
      </c>
    </row>
    <row r="142" spans="8:11">
      <c r="H142" s="89"/>
      <c r="I142" s="69"/>
      <c r="J142" s="61"/>
      <c r="K142" s="57" t="str">
        <f t="shared" si="0"/>
        <v xml:space="preserve"> </v>
      </c>
    </row>
    <row r="143" spans="8:11">
      <c r="H143" s="89"/>
      <c r="I143" s="69"/>
      <c r="J143" s="61"/>
      <c r="K143" s="57" t="str">
        <f t="shared" si="0"/>
        <v xml:space="preserve"> </v>
      </c>
    </row>
    <row r="144" spans="8:11">
      <c r="H144" s="89"/>
      <c r="I144" s="69"/>
      <c r="J144" s="61"/>
      <c r="K144" s="57" t="str">
        <f t="shared" si="0"/>
        <v xml:space="preserve"> </v>
      </c>
    </row>
    <row r="145" spans="8:11">
      <c r="H145" s="89"/>
      <c r="I145" s="69"/>
      <c r="J145" s="61"/>
      <c r="K145" s="57" t="str">
        <f t="shared" si="0"/>
        <v xml:space="preserve"> </v>
      </c>
    </row>
    <row r="146" spans="8:11">
      <c r="H146" s="89"/>
      <c r="I146" s="69"/>
      <c r="J146" s="61"/>
      <c r="K146" s="57" t="str">
        <f t="shared" si="0"/>
        <v xml:space="preserve"> </v>
      </c>
    </row>
    <row r="147" spans="8:11">
      <c r="H147" s="89"/>
      <c r="I147" s="69"/>
      <c r="J147" s="61"/>
      <c r="K147" s="57" t="str">
        <f t="shared" si="0"/>
        <v xml:space="preserve"> </v>
      </c>
    </row>
    <row r="148" spans="8:11">
      <c r="H148" s="89"/>
      <c r="I148" s="69"/>
      <c r="J148" s="61"/>
      <c r="K148" s="57" t="str">
        <f t="shared" si="0"/>
        <v xml:space="preserve"> </v>
      </c>
    </row>
    <row r="149" spans="8:11">
      <c r="H149" s="89"/>
      <c r="I149" s="69"/>
      <c r="J149" s="61"/>
      <c r="K149" s="57" t="str">
        <f t="shared" si="0"/>
        <v xml:space="preserve"> </v>
      </c>
    </row>
    <row r="150" spans="8:11">
      <c r="H150" s="89"/>
      <c r="I150" s="69"/>
      <c r="J150" s="62"/>
      <c r="K150" s="57" t="str">
        <f t="shared" si="0"/>
        <v xml:space="preserve"> </v>
      </c>
    </row>
    <row r="151" spans="8:11">
      <c r="H151" s="89"/>
      <c r="I151" s="69"/>
      <c r="J151" s="61"/>
      <c r="K151" s="57" t="str">
        <f t="shared" si="0"/>
        <v xml:space="preserve"> </v>
      </c>
    </row>
    <row r="152" spans="8:11">
      <c r="H152" s="89"/>
      <c r="I152" s="69"/>
      <c r="J152" s="62"/>
      <c r="K152" s="57" t="str">
        <f t="shared" si="0"/>
        <v xml:space="preserve"> </v>
      </c>
    </row>
    <row r="153" spans="8:11">
      <c r="H153" s="89"/>
      <c r="I153" s="69"/>
      <c r="J153" s="61"/>
      <c r="K153" s="57" t="str">
        <f t="shared" si="0"/>
        <v xml:space="preserve"> </v>
      </c>
    </row>
    <row r="154" spans="8:11">
      <c r="H154" s="89"/>
      <c r="I154" s="69"/>
      <c r="J154" s="61"/>
      <c r="K154" s="57" t="str">
        <f t="shared" si="0"/>
        <v xml:space="preserve"> </v>
      </c>
    </row>
    <row r="155" spans="8:11">
      <c r="H155" s="89"/>
      <c r="I155" s="69"/>
      <c r="J155" s="61"/>
      <c r="K155" s="57" t="str">
        <f t="shared" si="0"/>
        <v xml:space="preserve"> </v>
      </c>
    </row>
    <row r="156" spans="8:11">
      <c r="H156" s="89"/>
      <c r="I156" s="69"/>
      <c r="J156" s="61"/>
      <c r="K156" s="57" t="str">
        <f t="shared" si="0"/>
        <v xml:space="preserve"> </v>
      </c>
    </row>
    <row r="157" spans="8:11">
      <c r="H157" s="88"/>
      <c r="I157" s="69"/>
      <c r="J157" s="61"/>
      <c r="K157" s="57" t="str">
        <f t="shared" si="0"/>
        <v xml:space="preserve"> </v>
      </c>
    </row>
    <row r="158" spans="8:11">
      <c r="H158" s="88"/>
      <c r="I158" s="69"/>
      <c r="J158" s="61"/>
      <c r="K158" s="57" t="str">
        <f t="shared" si="0"/>
        <v xml:space="preserve"> </v>
      </c>
    </row>
    <row r="159" spans="8:11">
      <c r="H159" s="88"/>
      <c r="I159" s="69"/>
      <c r="J159" s="61"/>
      <c r="K159" s="57" t="str">
        <f t="shared" si="0"/>
        <v xml:space="preserve"> </v>
      </c>
    </row>
    <row r="160" spans="8:11">
      <c r="H160" s="88"/>
      <c r="I160" s="69"/>
      <c r="J160" s="61"/>
      <c r="K160" s="57" t="str">
        <f t="shared" si="0"/>
        <v xml:space="preserve"> </v>
      </c>
    </row>
    <row r="161" spans="8:11">
      <c r="H161" s="88"/>
      <c r="I161" s="69"/>
      <c r="J161" s="61"/>
      <c r="K161" s="57" t="str">
        <f t="shared" si="0"/>
        <v xml:space="preserve"> </v>
      </c>
    </row>
    <row r="162" spans="8:11">
      <c r="H162" s="88"/>
      <c r="I162" s="69"/>
      <c r="J162" s="61"/>
      <c r="K162" s="57" t="str">
        <f t="shared" si="0"/>
        <v xml:space="preserve"> </v>
      </c>
    </row>
    <row r="163" spans="8:11">
      <c r="H163" s="88"/>
      <c r="I163" s="69"/>
      <c r="J163" s="61"/>
      <c r="K163" s="57" t="str">
        <f t="shared" si="0"/>
        <v xml:space="preserve"> </v>
      </c>
    </row>
    <row r="164" spans="8:11">
      <c r="H164" s="88"/>
      <c r="I164" s="69"/>
      <c r="J164" s="61"/>
      <c r="K164" s="57" t="str">
        <f t="shared" si="0"/>
        <v xml:space="preserve"> </v>
      </c>
    </row>
    <row r="165" spans="8:11">
      <c r="H165" s="88"/>
      <c r="I165" s="69"/>
      <c r="J165" s="61"/>
      <c r="K165" s="57" t="str">
        <f t="shared" si="0"/>
        <v xml:space="preserve"> </v>
      </c>
    </row>
    <row r="166" spans="8:11">
      <c r="H166" s="88"/>
      <c r="I166" s="69"/>
      <c r="J166" s="64"/>
      <c r="K166" s="57" t="str">
        <f t="shared" si="0"/>
        <v xml:space="preserve"> </v>
      </c>
    </row>
    <row r="167" spans="8:11">
      <c r="H167" s="88"/>
      <c r="I167" s="69"/>
      <c r="J167" s="64"/>
      <c r="K167" s="57" t="str">
        <f t="shared" si="0"/>
        <v xml:space="preserve"> </v>
      </c>
    </row>
    <row r="168" spans="8:11">
      <c r="H168" s="88"/>
      <c r="I168" s="69"/>
      <c r="J168" s="64"/>
      <c r="K168" s="57" t="str">
        <f t="shared" si="0"/>
        <v xml:space="preserve"> </v>
      </c>
    </row>
    <row r="169" spans="8:11">
      <c r="H169" s="88"/>
      <c r="I169" s="69"/>
      <c r="J169" s="61"/>
      <c r="K169" s="57" t="str">
        <f t="shared" si="0"/>
        <v xml:space="preserve"> </v>
      </c>
    </row>
    <row r="170" spans="8:11">
      <c r="H170" s="88"/>
      <c r="I170" s="69"/>
      <c r="J170" s="61"/>
      <c r="K170" s="57" t="str">
        <f t="shared" si="0"/>
        <v xml:space="preserve"> </v>
      </c>
    </row>
    <row r="171" spans="8:11">
      <c r="H171" s="88"/>
      <c r="I171" s="69"/>
      <c r="J171" s="61"/>
      <c r="K171" s="57" t="str">
        <f t="shared" si="0"/>
        <v xml:space="preserve"> </v>
      </c>
    </row>
    <row r="172" spans="8:11">
      <c r="H172" s="88"/>
      <c r="I172" s="69"/>
      <c r="J172" s="61"/>
      <c r="K172" s="57" t="str">
        <f t="shared" si="0"/>
        <v xml:space="preserve"> </v>
      </c>
    </row>
  </sheetData>
  <mergeCells count="12">
    <mergeCell ref="H74:H109"/>
    <mergeCell ref="H157:H172"/>
    <mergeCell ref="H111:H120"/>
    <mergeCell ref="H121:H129"/>
    <mergeCell ref="H130:H137"/>
    <mergeCell ref="H138:H152"/>
    <mergeCell ref="H153:H156"/>
    <mergeCell ref="H39:H44"/>
    <mergeCell ref="H45:H49"/>
    <mergeCell ref="H50:H64"/>
    <mergeCell ref="H65:H73"/>
    <mergeCell ref="H4:H26"/>
  </mergeCells>
  <pageMargins left="0.7" right="0.7" top="0.75" bottom="0.75" header="0.3" footer="0.3"/>
  <pageSetup paperSize="9" scale="41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S465"/>
  <sheetViews>
    <sheetView zoomScale="80" zoomScaleNormal="80" workbookViewId="0">
      <pane ySplit="5" topLeftCell="A6" activePane="bottomLeft" state="frozen"/>
      <selection activeCell="B95" sqref="B95"/>
      <selection pane="bottomLeft" activeCell="A6" sqref="A6"/>
    </sheetView>
  </sheetViews>
  <sheetFormatPr baseColWidth="10" defaultRowHeight="15"/>
  <cols>
    <col min="1" max="1" width="27.85546875" style="12" customWidth="1"/>
    <col min="2" max="2" width="9.7109375" style="78" customWidth="1"/>
    <col min="3" max="3" width="82.85546875" bestFit="1" customWidth="1"/>
    <col min="4" max="4" width="22.140625" hidden="1" customWidth="1"/>
    <col min="5" max="5" width="22.42578125" hidden="1" customWidth="1"/>
    <col min="6" max="6" width="20.28515625" hidden="1" customWidth="1"/>
    <col min="7" max="7" width="16.85546875" hidden="1" customWidth="1"/>
    <col min="8" max="8" width="8" hidden="1" customWidth="1"/>
    <col min="9" max="9" width="12.140625" customWidth="1"/>
    <col min="10" max="10" width="10.85546875" customWidth="1"/>
    <col min="11" max="11" width="10.5703125" customWidth="1"/>
    <col min="12" max="12" width="11.7109375" customWidth="1"/>
    <col min="13" max="13" width="10.85546875" customWidth="1"/>
    <col min="14" max="14" width="8.85546875" customWidth="1"/>
    <col min="15" max="15" width="10.42578125" customWidth="1"/>
    <col min="16" max="16" width="16" customWidth="1"/>
    <col min="17" max="17" width="17" customWidth="1"/>
    <col min="18" max="18" width="18.140625" customWidth="1"/>
    <col min="19" max="19" width="19.42578125" customWidth="1"/>
    <col min="20" max="22" width="8.140625" style="32" customWidth="1"/>
    <col min="23" max="28" width="11.5703125" style="32" customWidth="1"/>
    <col min="29" max="16384" width="11.42578125" style="32"/>
  </cols>
  <sheetData>
    <row r="1" spans="1:19" ht="18" customHeight="1">
      <c r="A1" s="91"/>
      <c r="B1" s="91"/>
      <c r="C1" s="85" t="s">
        <v>53</v>
      </c>
      <c r="D1" s="85"/>
      <c r="E1" s="85"/>
      <c r="F1" s="85"/>
      <c r="G1" s="86" t="s">
        <v>144</v>
      </c>
      <c r="H1" s="86"/>
      <c r="I1" s="86"/>
      <c r="J1" s="86"/>
      <c r="K1" s="86"/>
    </row>
    <row r="2" spans="1:19">
      <c r="A2" s="91"/>
      <c r="B2" s="91"/>
      <c r="C2" s="85" t="s">
        <v>54</v>
      </c>
      <c r="D2" s="85"/>
      <c r="E2" s="85"/>
      <c r="F2" s="85"/>
      <c r="G2" s="87" t="s">
        <v>145</v>
      </c>
      <c r="H2" s="87"/>
      <c r="I2" s="87"/>
      <c r="J2" s="87"/>
      <c r="K2" s="87"/>
    </row>
    <row r="3" spans="1:19">
      <c r="A3" s="91"/>
      <c r="B3" s="91"/>
      <c r="C3" s="85" t="s">
        <v>55</v>
      </c>
      <c r="D3" s="85"/>
      <c r="E3" s="85"/>
      <c r="F3" s="85"/>
      <c r="G3" s="87" t="s">
        <v>146</v>
      </c>
      <c r="H3" s="87"/>
      <c r="I3" s="87"/>
      <c r="J3" s="87"/>
      <c r="K3" s="87"/>
    </row>
    <row r="4" spans="1:19" ht="27" customHeight="1">
      <c r="A4" s="91"/>
      <c r="B4" s="91"/>
      <c r="C4" s="85" t="s">
        <v>148</v>
      </c>
      <c r="D4" s="85"/>
      <c r="E4" s="85"/>
      <c r="F4" s="85"/>
      <c r="G4" s="87" t="s">
        <v>147</v>
      </c>
      <c r="H4" s="87"/>
      <c r="I4" s="87"/>
      <c r="J4" s="87"/>
      <c r="K4" s="87"/>
    </row>
    <row r="5" spans="1:19" s="44" customFormat="1" ht="43.5" customHeight="1">
      <c r="A5" s="21" t="s">
        <v>1</v>
      </c>
      <c r="B5" s="21" t="s">
        <v>15</v>
      </c>
      <c r="C5" s="21" t="s">
        <v>0</v>
      </c>
      <c r="D5" s="21" t="s">
        <v>50</v>
      </c>
      <c r="E5" s="21" t="s">
        <v>2</v>
      </c>
      <c r="F5" s="21" t="s">
        <v>56</v>
      </c>
      <c r="G5" s="21" t="s">
        <v>57</v>
      </c>
      <c r="H5" s="21" t="s">
        <v>58</v>
      </c>
      <c r="I5" s="21" t="s">
        <v>12</v>
      </c>
      <c r="J5" s="21" t="s">
        <v>11</v>
      </c>
      <c r="K5" s="21" t="s">
        <v>9</v>
      </c>
      <c r="L5" s="19" t="s">
        <v>10</v>
      </c>
      <c r="M5" s="19" t="s">
        <v>3</v>
      </c>
      <c r="N5" s="14" t="s">
        <v>6</v>
      </c>
      <c r="O5" s="14" t="s">
        <v>7</v>
      </c>
      <c r="P5" s="14" t="s">
        <v>8</v>
      </c>
      <c r="Q5" s="14" t="s">
        <v>5</v>
      </c>
      <c r="R5" s="20" t="s">
        <v>4</v>
      </c>
      <c r="S5" s="14" t="s">
        <v>51</v>
      </c>
    </row>
    <row r="6" spans="1:19" s="44" customFormat="1">
      <c r="A6" s="15"/>
      <c r="B6" s="79"/>
      <c r="C6" s="18" t="str">
        <f>IF(B6="","",VLOOKUP(B6,'Tabla de proceso'!$B$6:$G$28,2,))</f>
        <v/>
      </c>
      <c r="D6" s="17" t="str">
        <f>IF(B6="","",VLOOKUP(B6,'Tabla de proceso'!$B$5:$G$28,3,0))</f>
        <v/>
      </c>
      <c r="E6" s="13" t="str">
        <f t="shared" ref="E6:E69" si="0">D6</f>
        <v/>
      </c>
      <c r="F6" s="13" t="str">
        <f t="shared" ref="F6:F69" si="1">IF(E6="","",+$E6/9)</f>
        <v/>
      </c>
      <c r="G6" s="13" t="str">
        <f t="shared" ref="G6:G69" si="2">IF(E6="","",($E6/60)/9)</f>
        <v/>
      </c>
      <c r="H6" s="13" t="e">
        <f t="shared" ref="H6:H69" si="3">+$E6*5</f>
        <v>#VALUE!</v>
      </c>
      <c r="I6" s="47"/>
      <c r="J6" s="16">
        <f t="shared" ref="J6:J69" si="4">+WEEKNUM(I6)</f>
        <v>0</v>
      </c>
      <c r="K6" s="45" t="str">
        <f t="shared" ref="K6:K69" si="5">+TEXT($I6,"dddd")</f>
        <v>sábado</v>
      </c>
      <c r="L6" s="49"/>
      <c r="M6" s="50"/>
      <c r="N6" s="52">
        <f t="shared" ref="N6:N69" si="6">+HOUR($M6)</f>
        <v>0</v>
      </c>
      <c r="O6" s="52">
        <f t="shared" ref="O6:O69" si="7">+MINUTE($M6)</f>
        <v>0</v>
      </c>
      <c r="P6" s="53">
        <f t="shared" ref="P6:P69" si="8">+($N6*60)+$O6</f>
        <v>0</v>
      </c>
      <c r="Q6" s="54" t="str">
        <f t="shared" ref="Q6:Q69" si="9">IF(G6="","",+$G6*$P6)</f>
        <v/>
      </c>
      <c r="R6" s="58" t="str">
        <f t="shared" ref="R6:R69" si="10">IF($Q6="","",$L6/$Q6)</f>
        <v/>
      </c>
      <c r="S6" s="80"/>
    </row>
    <row r="7" spans="1:19" s="44" customFormat="1">
      <c r="A7" s="15"/>
      <c r="B7" s="79"/>
      <c r="C7" s="18" t="str">
        <f>IF(B7="","",VLOOKUP(B7,'Tabla de proceso'!$B$6:$G$28,2,))</f>
        <v/>
      </c>
      <c r="D7" s="17" t="str">
        <f>IF(B7="","",VLOOKUP(B7,'Tabla de proceso'!$B$5:$G$28,3,0))</f>
        <v/>
      </c>
      <c r="E7" s="13" t="str">
        <f t="shared" si="0"/>
        <v/>
      </c>
      <c r="F7" s="13" t="str">
        <f t="shared" si="1"/>
        <v/>
      </c>
      <c r="G7" s="13" t="str">
        <f t="shared" si="2"/>
        <v/>
      </c>
      <c r="H7" s="13" t="e">
        <f t="shared" si="3"/>
        <v>#VALUE!</v>
      </c>
      <c r="I7" s="47"/>
      <c r="J7" s="16">
        <f t="shared" si="4"/>
        <v>0</v>
      </c>
      <c r="K7" s="45" t="str">
        <f t="shared" si="5"/>
        <v>sábado</v>
      </c>
      <c r="L7" s="49"/>
      <c r="M7" s="50"/>
      <c r="N7" s="52">
        <f t="shared" si="6"/>
        <v>0</v>
      </c>
      <c r="O7" s="52">
        <f t="shared" si="7"/>
        <v>0</v>
      </c>
      <c r="P7" s="53">
        <f t="shared" si="8"/>
        <v>0</v>
      </c>
      <c r="Q7" s="54" t="str">
        <f t="shared" si="9"/>
        <v/>
      </c>
      <c r="R7" s="58" t="str">
        <f t="shared" si="10"/>
        <v/>
      </c>
      <c r="S7" s="80"/>
    </row>
    <row r="8" spans="1:19" s="44" customFormat="1">
      <c r="A8" s="15"/>
      <c r="B8" s="79"/>
      <c r="C8" s="18" t="str">
        <f>IF(B8="","",VLOOKUP(B8,'Tabla de proceso'!$B$6:$G$28,2,))</f>
        <v/>
      </c>
      <c r="D8" s="17" t="str">
        <f>IF(B8="","",VLOOKUP(B8,'Tabla de proceso'!$B$5:$G$28,3,0))</f>
        <v/>
      </c>
      <c r="E8" s="13" t="str">
        <f t="shared" si="0"/>
        <v/>
      </c>
      <c r="F8" s="13" t="str">
        <f t="shared" si="1"/>
        <v/>
      </c>
      <c r="G8" s="13" t="str">
        <f t="shared" si="2"/>
        <v/>
      </c>
      <c r="H8" s="13" t="e">
        <f t="shared" si="3"/>
        <v>#VALUE!</v>
      </c>
      <c r="I8" s="47"/>
      <c r="J8" s="16">
        <f t="shared" si="4"/>
        <v>0</v>
      </c>
      <c r="K8" s="45" t="str">
        <f t="shared" si="5"/>
        <v>sábado</v>
      </c>
      <c r="L8" s="49"/>
      <c r="M8" s="50"/>
      <c r="N8" s="52">
        <f t="shared" si="6"/>
        <v>0</v>
      </c>
      <c r="O8" s="52">
        <f t="shared" si="7"/>
        <v>0</v>
      </c>
      <c r="P8" s="53">
        <f t="shared" si="8"/>
        <v>0</v>
      </c>
      <c r="Q8" s="54" t="str">
        <f t="shared" si="9"/>
        <v/>
      </c>
      <c r="R8" s="58" t="str">
        <f t="shared" si="10"/>
        <v/>
      </c>
      <c r="S8" s="80"/>
    </row>
    <row r="9" spans="1:19" s="44" customFormat="1">
      <c r="A9" s="15"/>
      <c r="B9" s="79"/>
      <c r="C9" s="18" t="str">
        <f>IF(B9="","",VLOOKUP(B9,'Tabla de proceso'!$B$6:$G$28,2,))</f>
        <v/>
      </c>
      <c r="D9" s="17" t="str">
        <f>IF(B9="","",VLOOKUP(B9,'Tabla de proceso'!$B$5:$G$28,3,0))</f>
        <v/>
      </c>
      <c r="E9" s="13" t="str">
        <f t="shared" si="0"/>
        <v/>
      </c>
      <c r="F9" s="13" t="str">
        <f t="shared" si="1"/>
        <v/>
      </c>
      <c r="G9" s="13" t="str">
        <f t="shared" si="2"/>
        <v/>
      </c>
      <c r="H9" s="13" t="e">
        <f t="shared" si="3"/>
        <v>#VALUE!</v>
      </c>
      <c r="I9" s="47"/>
      <c r="J9" s="16">
        <f t="shared" si="4"/>
        <v>0</v>
      </c>
      <c r="K9" s="45" t="str">
        <f t="shared" si="5"/>
        <v>sábado</v>
      </c>
      <c r="L9" s="49"/>
      <c r="M9" s="50"/>
      <c r="N9" s="52">
        <f t="shared" si="6"/>
        <v>0</v>
      </c>
      <c r="O9" s="52">
        <f t="shared" si="7"/>
        <v>0</v>
      </c>
      <c r="P9" s="53">
        <f t="shared" si="8"/>
        <v>0</v>
      </c>
      <c r="Q9" s="54" t="str">
        <f t="shared" si="9"/>
        <v/>
      </c>
      <c r="R9" s="58" t="str">
        <f t="shared" si="10"/>
        <v/>
      </c>
      <c r="S9" s="80"/>
    </row>
    <row r="10" spans="1:19" s="44" customFormat="1">
      <c r="A10" s="15"/>
      <c r="B10" s="79"/>
      <c r="C10" s="18" t="str">
        <f>IF(B10="","",VLOOKUP(B10,'Tabla de proceso'!$B$6:$G$28,2,))</f>
        <v/>
      </c>
      <c r="D10" s="17" t="str">
        <f>IF(B10="","",VLOOKUP(B10,'Tabla de proceso'!$B$5:$G$28,3,0))</f>
        <v/>
      </c>
      <c r="E10" s="13" t="str">
        <f t="shared" si="0"/>
        <v/>
      </c>
      <c r="F10" s="13" t="str">
        <f t="shared" si="1"/>
        <v/>
      </c>
      <c r="G10" s="13" t="str">
        <f t="shared" si="2"/>
        <v/>
      </c>
      <c r="H10" s="13" t="e">
        <f t="shared" si="3"/>
        <v>#VALUE!</v>
      </c>
      <c r="I10" s="47"/>
      <c r="J10" s="16">
        <f t="shared" si="4"/>
        <v>0</v>
      </c>
      <c r="K10" s="45" t="str">
        <f t="shared" si="5"/>
        <v>sábado</v>
      </c>
      <c r="L10" s="49"/>
      <c r="M10" s="50"/>
      <c r="N10" s="52">
        <f t="shared" si="6"/>
        <v>0</v>
      </c>
      <c r="O10" s="52">
        <f t="shared" si="7"/>
        <v>0</v>
      </c>
      <c r="P10" s="53">
        <f t="shared" si="8"/>
        <v>0</v>
      </c>
      <c r="Q10" s="54" t="str">
        <f t="shared" si="9"/>
        <v/>
      </c>
      <c r="R10" s="58" t="str">
        <f t="shared" si="10"/>
        <v/>
      </c>
      <c r="S10" s="80"/>
    </row>
    <row r="11" spans="1:19" s="44" customFormat="1">
      <c r="A11" s="15"/>
      <c r="B11" s="79"/>
      <c r="C11" s="18" t="str">
        <f>IF(B11="","",VLOOKUP(B11,'Tabla de proceso'!$B$6:$G$28,2,))</f>
        <v/>
      </c>
      <c r="D11" s="17" t="str">
        <f>IF(B11="","",VLOOKUP(B11,'Tabla de proceso'!$B$5:$G$28,3,0))</f>
        <v/>
      </c>
      <c r="E11" s="13" t="str">
        <f t="shared" si="0"/>
        <v/>
      </c>
      <c r="F11" s="13" t="str">
        <f t="shared" si="1"/>
        <v/>
      </c>
      <c r="G11" s="13" t="str">
        <f t="shared" si="2"/>
        <v/>
      </c>
      <c r="H11" s="13" t="e">
        <f t="shared" si="3"/>
        <v>#VALUE!</v>
      </c>
      <c r="I11" s="47"/>
      <c r="J11" s="16">
        <f t="shared" si="4"/>
        <v>0</v>
      </c>
      <c r="K11" s="45" t="str">
        <f t="shared" si="5"/>
        <v>sábado</v>
      </c>
      <c r="L11" s="49"/>
      <c r="M11" s="50"/>
      <c r="N11" s="52">
        <f t="shared" si="6"/>
        <v>0</v>
      </c>
      <c r="O11" s="52">
        <f t="shared" si="7"/>
        <v>0</v>
      </c>
      <c r="P11" s="53">
        <f t="shared" si="8"/>
        <v>0</v>
      </c>
      <c r="Q11" s="54" t="str">
        <f t="shared" si="9"/>
        <v/>
      </c>
      <c r="R11" s="58" t="str">
        <f t="shared" si="10"/>
        <v/>
      </c>
      <c r="S11" s="80"/>
    </row>
    <row r="12" spans="1:19" s="44" customFormat="1">
      <c r="A12" s="15"/>
      <c r="B12" s="79"/>
      <c r="C12" s="18" t="str">
        <f>IF(B12="","",VLOOKUP(B12,'Tabla de proceso'!$B$6:$G$28,2,))</f>
        <v/>
      </c>
      <c r="D12" s="17" t="str">
        <f>IF(B12="","",VLOOKUP(B12,'Tabla de proceso'!$B$5:$G$28,3,0))</f>
        <v/>
      </c>
      <c r="E12" s="13" t="str">
        <f t="shared" si="0"/>
        <v/>
      </c>
      <c r="F12" s="13" t="str">
        <f t="shared" si="1"/>
        <v/>
      </c>
      <c r="G12" s="13" t="str">
        <f t="shared" si="2"/>
        <v/>
      </c>
      <c r="H12" s="13" t="e">
        <f t="shared" si="3"/>
        <v>#VALUE!</v>
      </c>
      <c r="I12" s="47"/>
      <c r="J12" s="16">
        <f t="shared" si="4"/>
        <v>0</v>
      </c>
      <c r="K12" s="45" t="str">
        <f t="shared" si="5"/>
        <v>sábado</v>
      </c>
      <c r="L12" s="49"/>
      <c r="M12" s="50"/>
      <c r="N12" s="52">
        <f t="shared" si="6"/>
        <v>0</v>
      </c>
      <c r="O12" s="52">
        <f t="shared" si="7"/>
        <v>0</v>
      </c>
      <c r="P12" s="53">
        <f t="shared" si="8"/>
        <v>0</v>
      </c>
      <c r="Q12" s="54" t="str">
        <f t="shared" si="9"/>
        <v/>
      </c>
      <c r="R12" s="58" t="str">
        <f t="shared" si="10"/>
        <v/>
      </c>
      <c r="S12" s="80"/>
    </row>
    <row r="13" spans="1:19" s="44" customFormat="1">
      <c r="A13" s="15"/>
      <c r="B13" s="79"/>
      <c r="C13" s="18" t="str">
        <f>IF(B13="","",VLOOKUP(B13,'Tabla de proceso'!$B$6:$G$28,2,))</f>
        <v/>
      </c>
      <c r="D13" s="17" t="str">
        <f>IF(B13="","",VLOOKUP(B13,'Tabla de proceso'!$B$5:$G$28,3,0))</f>
        <v/>
      </c>
      <c r="E13" s="13" t="str">
        <f t="shared" si="0"/>
        <v/>
      </c>
      <c r="F13" s="13" t="str">
        <f t="shared" si="1"/>
        <v/>
      </c>
      <c r="G13" s="13" t="str">
        <f t="shared" si="2"/>
        <v/>
      </c>
      <c r="H13" s="13" t="e">
        <f t="shared" si="3"/>
        <v>#VALUE!</v>
      </c>
      <c r="I13" s="47"/>
      <c r="J13" s="16">
        <f t="shared" si="4"/>
        <v>0</v>
      </c>
      <c r="K13" s="45" t="str">
        <f t="shared" si="5"/>
        <v>sábado</v>
      </c>
      <c r="L13" s="49"/>
      <c r="M13" s="50"/>
      <c r="N13" s="52">
        <f t="shared" si="6"/>
        <v>0</v>
      </c>
      <c r="O13" s="52">
        <f t="shared" si="7"/>
        <v>0</v>
      </c>
      <c r="P13" s="53">
        <f t="shared" si="8"/>
        <v>0</v>
      </c>
      <c r="Q13" s="54" t="str">
        <f t="shared" si="9"/>
        <v/>
      </c>
      <c r="R13" s="58" t="str">
        <f t="shared" si="10"/>
        <v/>
      </c>
      <c r="S13" s="80"/>
    </row>
    <row r="14" spans="1:19" s="44" customFormat="1">
      <c r="A14" s="15"/>
      <c r="B14" s="79"/>
      <c r="C14" s="18" t="str">
        <f>IF(B14="","",VLOOKUP(B14,'Tabla de proceso'!$B$6:$G$28,2,))</f>
        <v/>
      </c>
      <c r="D14" s="17" t="str">
        <f>IF(B14="","",VLOOKUP(B14,'Tabla de proceso'!$B$5:$G$28,3,0))</f>
        <v/>
      </c>
      <c r="E14" s="13" t="str">
        <f t="shared" si="0"/>
        <v/>
      </c>
      <c r="F14" s="13" t="str">
        <f t="shared" si="1"/>
        <v/>
      </c>
      <c r="G14" s="13" t="str">
        <f t="shared" si="2"/>
        <v/>
      </c>
      <c r="H14" s="13" t="e">
        <f t="shared" si="3"/>
        <v>#VALUE!</v>
      </c>
      <c r="I14" s="47"/>
      <c r="J14" s="16">
        <f t="shared" si="4"/>
        <v>0</v>
      </c>
      <c r="K14" s="45" t="str">
        <f t="shared" si="5"/>
        <v>sábado</v>
      </c>
      <c r="L14" s="49"/>
      <c r="M14" s="50"/>
      <c r="N14" s="52">
        <f t="shared" si="6"/>
        <v>0</v>
      </c>
      <c r="O14" s="52">
        <f t="shared" si="7"/>
        <v>0</v>
      </c>
      <c r="P14" s="53">
        <f t="shared" si="8"/>
        <v>0</v>
      </c>
      <c r="Q14" s="54" t="str">
        <f t="shared" si="9"/>
        <v/>
      </c>
      <c r="R14" s="58" t="str">
        <f t="shared" si="10"/>
        <v/>
      </c>
      <c r="S14" s="80"/>
    </row>
    <row r="15" spans="1:19" s="44" customFormat="1">
      <c r="A15" s="15"/>
      <c r="B15" s="75"/>
      <c r="C15" s="18" t="str">
        <f>IF(B15="","",VLOOKUP(B15,'Tabla de proceso'!$B$6:$G$28,2,))</f>
        <v/>
      </c>
      <c r="D15" s="17" t="str">
        <f>IF(B15="","",VLOOKUP(B15,'Tabla de proceso'!$B$5:$G$28,3,0))</f>
        <v/>
      </c>
      <c r="E15" s="13" t="str">
        <f t="shared" si="0"/>
        <v/>
      </c>
      <c r="F15" s="13" t="str">
        <f t="shared" si="1"/>
        <v/>
      </c>
      <c r="G15" s="13" t="str">
        <f t="shared" si="2"/>
        <v/>
      </c>
      <c r="H15" s="13" t="e">
        <f t="shared" si="3"/>
        <v>#VALUE!</v>
      </c>
      <c r="I15" s="47"/>
      <c r="J15" s="16">
        <f t="shared" si="4"/>
        <v>0</v>
      </c>
      <c r="K15" s="45" t="str">
        <f t="shared" si="5"/>
        <v>sábado</v>
      </c>
      <c r="L15" s="49"/>
      <c r="M15" s="50"/>
      <c r="N15" s="52">
        <f t="shared" si="6"/>
        <v>0</v>
      </c>
      <c r="O15" s="52">
        <f t="shared" si="7"/>
        <v>0</v>
      </c>
      <c r="P15" s="53">
        <f t="shared" si="8"/>
        <v>0</v>
      </c>
      <c r="Q15" s="54" t="str">
        <f t="shared" si="9"/>
        <v/>
      </c>
      <c r="R15" s="58" t="str">
        <f t="shared" si="10"/>
        <v/>
      </c>
      <c r="S15" s="80"/>
    </row>
    <row r="16" spans="1:19" s="44" customFormat="1">
      <c r="A16" s="15"/>
      <c r="B16" s="75"/>
      <c r="C16" s="18" t="str">
        <f>IF(B16="","",VLOOKUP(B16,'Tabla de proceso'!$B$6:$G$28,2,))</f>
        <v/>
      </c>
      <c r="D16" s="17" t="str">
        <f>IF(B16="","",VLOOKUP(B16,'Tabla de proceso'!$B$5:$G$28,3,0))</f>
        <v/>
      </c>
      <c r="E16" s="13" t="str">
        <f t="shared" si="0"/>
        <v/>
      </c>
      <c r="F16" s="13" t="str">
        <f t="shared" si="1"/>
        <v/>
      </c>
      <c r="G16" s="13" t="str">
        <f t="shared" si="2"/>
        <v/>
      </c>
      <c r="H16" s="13" t="e">
        <f t="shared" si="3"/>
        <v>#VALUE!</v>
      </c>
      <c r="I16" s="47"/>
      <c r="J16" s="16">
        <f t="shared" si="4"/>
        <v>0</v>
      </c>
      <c r="K16" s="45" t="str">
        <f t="shared" si="5"/>
        <v>sábado</v>
      </c>
      <c r="L16" s="49"/>
      <c r="M16" s="50"/>
      <c r="N16" s="52">
        <f t="shared" si="6"/>
        <v>0</v>
      </c>
      <c r="O16" s="52">
        <f t="shared" si="7"/>
        <v>0</v>
      </c>
      <c r="P16" s="53">
        <f t="shared" si="8"/>
        <v>0</v>
      </c>
      <c r="Q16" s="54" t="str">
        <f t="shared" si="9"/>
        <v/>
      </c>
      <c r="R16" s="58" t="str">
        <f t="shared" si="10"/>
        <v/>
      </c>
      <c r="S16" s="80"/>
    </row>
    <row r="17" spans="1:19" s="44" customFormat="1">
      <c r="A17" s="15"/>
      <c r="B17" s="76"/>
      <c r="C17" s="18" t="str">
        <f>IF(B17="","",VLOOKUP(B17,'Tabla de proceso'!$B$6:$G$28,2,))</f>
        <v/>
      </c>
      <c r="D17" s="17" t="str">
        <f>IF(B17="","",VLOOKUP(B17,'Tabla de proceso'!$B$5:$G$28,3,0))</f>
        <v/>
      </c>
      <c r="E17" s="13" t="str">
        <f t="shared" si="0"/>
        <v/>
      </c>
      <c r="F17" s="13" t="str">
        <f t="shared" si="1"/>
        <v/>
      </c>
      <c r="G17" s="13" t="str">
        <f t="shared" si="2"/>
        <v/>
      </c>
      <c r="H17" s="13" t="e">
        <f t="shared" si="3"/>
        <v>#VALUE!</v>
      </c>
      <c r="I17" s="47"/>
      <c r="J17" s="16">
        <f t="shared" si="4"/>
        <v>0</v>
      </c>
      <c r="K17" s="45" t="str">
        <f t="shared" si="5"/>
        <v>sábado</v>
      </c>
      <c r="L17" s="49"/>
      <c r="M17" s="50"/>
      <c r="N17" s="52">
        <f t="shared" si="6"/>
        <v>0</v>
      </c>
      <c r="O17" s="52">
        <f t="shared" si="7"/>
        <v>0</v>
      </c>
      <c r="P17" s="53">
        <f t="shared" si="8"/>
        <v>0</v>
      </c>
      <c r="Q17" s="54" t="str">
        <f t="shared" si="9"/>
        <v/>
      </c>
      <c r="R17" s="58" t="str">
        <f t="shared" si="10"/>
        <v/>
      </c>
      <c r="S17" s="80"/>
    </row>
    <row r="18" spans="1:19" s="44" customFormat="1">
      <c r="A18" s="15"/>
      <c r="B18" s="76"/>
      <c r="C18" s="18" t="str">
        <f>IF(B18="","",VLOOKUP(B18,'Tabla de proceso'!$B$6:$G$28,2,))</f>
        <v/>
      </c>
      <c r="D18" s="17" t="str">
        <f>IF(B18="","",VLOOKUP(B18,'Tabla de proceso'!$B$5:$G$28,3,0))</f>
        <v/>
      </c>
      <c r="E18" s="13" t="str">
        <f t="shared" si="0"/>
        <v/>
      </c>
      <c r="F18" s="13" t="str">
        <f t="shared" si="1"/>
        <v/>
      </c>
      <c r="G18" s="13" t="str">
        <f t="shared" si="2"/>
        <v/>
      </c>
      <c r="H18" s="13" t="e">
        <f t="shared" si="3"/>
        <v>#VALUE!</v>
      </c>
      <c r="I18" s="47"/>
      <c r="J18" s="16">
        <f t="shared" si="4"/>
        <v>0</v>
      </c>
      <c r="K18" s="45" t="str">
        <f t="shared" si="5"/>
        <v>sábado</v>
      </c>
      <c r="L18" s="49"/>
      <c r="M18" s="50"/>
      <c r="N18" s="52">
        <f t="shared" si="6"/>
        <v>0</v>
      </c>
      <c r="O18" s="52">
        <f t="shared" si="7"/>
        <v>0</v>
      </c>
      <c r="P18" s="53">
        <f t="shared" si="8"/>
        <v>0</v>
      </c>
      <c r="Q18" s="54" t="str">
        <f t="shared" si="9"/>
        <v/>
      </c>
      <c r="R18" s="58" t="str">
        <f t="shared" si="10"/>
        <v/>
      </c>
      <c r="S18" s="80"/>
    </row>
    <row r="19" spans="1:19" s="44" customFormat="1">
      <c r="A19" s="15"/>
      <c r="B19" s="76"/>
      <c r="C19" s="18" t="str">
        <f>IF(B19="","",VLOOKUP(B19,'Tabla de proceso'!$B$6:$G$28,2,))</f>
        <v/>
      </c>
      <c r="D19" s="17" t="str">
        <f>IF(B19="","",VLOOKUP(B19,'Tabla de proceso'!$B$5:$G$28,3,0))</f>
        <v/>
      </c>
      <c r="E19" s="13" t="str">
        <f t="shared" si="0"/>
        <v/>
      </c>
      <c r="F19" s="13" t="str">
        <f t="shared" si="1"/>
        <v/>
      </c>
      <c r="G19" s="13" t="str">
        <f t="shared" si="2"/>
        <v/>
      </c>
      <c r="H19" s="13" t="e">
        <f t="shared" si="3"/>
        <v>#VALUE!</v>
      </c>
      <c r="I19" s="47"/>
      <c r="J19" s="16">
        <f t="shared" si="4"/>
        <v>0</v>
      </c>
      <c r="K19" s="45" t="str">
        <f t="shared" si="5"/>
        <v>sábado</v>
      </c>
      <c r="L19" s="49"/>
      <c r="M19" s="50"/>
      <c r="N19" s="52">
        <f t="shared" si="6"/>
        <v>0</v>
      </c>
      <c r="O19" s="52">
        <f t="shared" si="7"/>
        <v>0</v>
      </c>
      <c r="P19" s="53">
        <f t="shared" si="8"/>
        <v>0</v>
      </c>
      <c r="Q19" s="54" t="str">
        <f t="shared" si="9"/>
        <v/>
      </c>
      <c r="R19" s="58" t="str">
        <f t="shared" si="10"/>
        <v/>
      </c>
      <c r="S19" s="80"/>
    </row>
    <row r="20" spans="1:19" s="44" customFormat="1">
      <c r="A20" s="15"/>
      <c r="B20" s="76"/>
      <c r="C20" s="18" t="str">
        <f>IF(B20="","",VLOOKUP(B20,'Tabla de proceso'!$B$6:$G$28,2,))</f>
        <v/>
      </c>
      <c r="D20" s="17" t="str">
        <f>IF(B20="","",VLOOKUP(B20,'Tabla de proceso'!$B$5:$G$28,3,0))</f>
        <v/>
      </c>
      <c r="E20" s="13" t="str">
        <f t="shared" si="0"/>
        <v/>
      </c>
      <c r="F20" s="13" t="str">
        <f t="shared" si="1"/>
        <v/>
      </c>
      <c r="G20" s="13" t="str">
        <f t="shared" si="2"/>
        <v/>
      </c>
      <c r="H20" s="13" t="e">
        <f t="shared" si="3"/>
        <v>#VALUE!</v>
      </c>
      <c r="I20" s="47"/>
      <c r="J20" s="16">
        <f t="shared" si="4"/>
        <v>0</v>
      </c>
      <c r="K20" s="45" t="str">
        <f t="shared" si="5"/>
        <v>sábado</v>
      </c>
      <c r="L20" s="49"/>
      <c r="M20" s="50"/>
      <c r="N20" s="52">
        <f t="shared" si="6"/>
        <v>0</v>
      </c>
      <c r="O20" s="52">
        <f t="shared" si="7"/>
        <v>0</v>
      </c>
      <c r="P20" s="53">
        <f t="shared" si="8"/>
        <v>0</v>
      </c>
      <c r="Q20" s="54" t="str">
        <f t="shared" si="9"/>
        <v/>
      </c>
      <c r="R20" s="58" t="str">
        <f t="shared" si="10"/>
        <v/>
      </c>
      <c r="S20" s="80"/>
    </row>
    <row r="21" spans="1:19" s="44" customFormat="1">
      <c r="A21" s="15"/>
      <c r="B21" s="76"/>
      <c r="C21" s="18" t="str">
        <f>IF(B21="","",VLOOKUP(B21,'Tabla de proceso'!$B$6:$G$28,2,))</f>
        <v/>
      </c>
      <c r="D21" s="17" t="str">
        <f>IF(B21="","",VLOOKUP(B21,'Tabla de proceso'!$B$5:$G$28,3,0))</f>
        <v/>
      </c>
      <c r="E21" s="13" t="str">
        <f t="shared" si="0"/>
        <v/>
      </c>
      <c r="F21" s="13" t="str">
        <f t="shared" si="1"/>
        <v/>
      </c>
      <c r="G21" s="13" t="str">
        <f t="shared" si="2"/>
        <v/>
      </c>
      <c r="H21" s="13" t="e">
        <f t="shared" si="3"/>
        <v>#VALUE!</v>
      </c>
      <c r="I21" s="47"/>
      <c r="J21" s="16">
        <f t="shared" si="4"/>
        <v>0</v>
      </c>
      <c r="K21" s="45" t="str">
        <f t="shared" si="5"/>
        <v>sábado</v>
      </c>
      <c r="L21" s="49"/>
      <c r="M21" s="50"/>
      <c r="N21" s="52">
        <f t="shared" si="6"/>
        <v>0</v>
      </c>
      <c r="O21" s="52">
        <f t="shared" si="7"/>
        <v>0</v>
      </c>
      <c r="P21" s="53">
        <f t="shared" si="8"/>
        <v>0</v>
      </c>
      <c r="Q21" s="54" t="str">
        <f t="shared" si="9"/>
        <v/>
      </c>
      <c r="R21" s="58" t="str">
        <f t="shared" si="10"/>
        <v/>
      </c>
      <c r="S21" s="80"/>
    </row>
    <row r="22" spans="1:19" s="44" customFormat="1">
      <c r="A22" s="15"/>
      <c r="B22" s="76"/>
      <c r="C22" s="18" t="str">
        <f>IF(B22="","",VLOOKUP(B22,'Tabla de proceso'!$B$6:$G$28,2,))</f>
        <v/>
      </c>
      <c r="D22" s="17" t="str">
        <f>IF(B22="","",VLOOKUP(B22,'Tabla de proceso'!$B$5:$G$28,3,0))</f>
        <v/>
      </c>
      <c r="E22" s="13" t="str">
        <f t="shared" si="0"/>
        <v/>
      </c>
      <c r="F22" s="13" t="str">
        <f t="shared" si="1"/>
        <v/>
      </c>
      <c r="G22" s="13" t="str">
        <f t="shared" si="2"/>
        <v/>
      </c>
      <c r="H22" s="13" t="e">
        <f t="shared" si="3"/>
        <v>#VALUE!</v>
      </c>
      <c r="I22" s="47"/>
      <c r="J22" s="16">
        <f t="shared" si="4"/>
        <v>0</v>
      </c>
      <c r="K22" s="45" t="str">
        <f t="shared" si="5"/>
        <v>sábado</v>
      </c>
      <c r="L22" s="49"/>
      <c r="M22" s="50"/>
      <c r="N22" s="52">
        <f t="shared" si="6"/>
        <v>0</v>
      </c>
      <c r="O22" s="52">
        <f t="shared" si="7"/>
        <v>0</v>
      </c>
      <c r="P22" s="53">
        <f t="shared" si="8"/>
        <v>0</v>
      </c>
      <c r="Q22" s="54" t="str">
        <f t="shared" si="9"/>
        <v/>
      </c>
      <c r="R22" s="58" t="str">
        <f t="shared" si="10"/>
        <v/>
      </c>
      <c r="S22" s="80"/>
    </row>
    <row r="23" spans="1:19" s="44" customFormat="1">
      <c r="A23" s="15"/>
      <c r="B23" s="79"/>
      <c r="C23" s="18" t="str">
        <f>IF(B23="","",VLOOKUP(B23,'Tabla de proceso'!$B$6:$G$28,2,))</f>
        <v/>
      </c>
      <c r="D23" s="17" t="str">
        <f>IF(B23="","",VLOOKUP(B23,'Tabla de proceso'!$B$5:$G$28,3,0))</f>
        <v/>
      </c>
      <c r="E23" s="13" t="str">
        <f t="shared" si="0"/>
        <v/>
      </c>
      <c r="F23" s="13" t="str">
        <f t="shared" si="1"/>
        <v/>
      </c>
      <c r="G23" s="13" t="str">
        <f t="shared" si="2"/>
        <v/>
      </c>
      <c r="H23" s="13" t="e">
        <f t="shared" si="3"/>
        <v>#VALUE!</v>
      </c>
      <c r="I23" s="47"/>
      <c r="J23" s="16">
        <f t="shared" si="4"/>
        <v>0</v>
      </c>
      <c r="K23" s="45" t="str">
        <f t="shared" si="5"/>
        <v>sábado</v>
      </c>
      <c r="L23" s="49"/>
      <c r="M23" s="50"/>
      <c r="N23" s="52">
        <f t="shared" si="6"/>
        <v>0</v>
      </c>
      <c r="O23" s="52">
        <f t="shared" si="7"/>
        <v>0</v>
      </c>
      <c r="P23" s="53">
        <f t="shared" si="8"/>
        <v>0</v>
      </c>
      <c r="Q23" s="54" t="str">
        <f t="shared" si="9"/>
        <v/>
      </c>
      <c r="R23" s="58" t="str">
        <f t="shared" si="10"/>
        <v/>
      </c>
      <c r="S23" s="80"/>
    </row>
    <row r="24" spans="1:19" s="44" customFormat="1">
      <c r="A24" s="15"/>
      <c r="B24" s="79"/>
      <c r="C24" s="18" t="str">
        <f>IF(B24="","",VLOOKUP(B24,'Tabla de proceso'!$B$6:$G$28,2,))</f>
        <v/>
      </c>
      <c r="D24" s="17" t="str">
        <f>IF(B24="","",VLOOKUP(B24,'Tabla de proceso'!$B$5:$G$28,3,0))</f>
        <v/>
      </c>
      <c r="E24" s="13" t="str">
        <f t="shared" si="0"/>
        <v/>
      </c>
      <c r="F24" s="13" t="str">
        <f t="shared" si="1"/>
        <v/>
      </c>
      <c r="G24" s="13" t="str">
        <f t="shared" si="2"/>
        <v/>
      </c>
      <c r="H24" s="13" t="e">
        <f t="shared" si="3"/>
        <v>#VALUE!</v>
      </c>
      <c r="I24" s="47"/>
      <c r="J24" s="16">
        <f t="shared" si="4"/>
        <v>0</v>
      </c>
      <c r="K24" s="45" t="str">
        <f t="shared" si="5"/>
        <v>sábado</v>
      </c>
      <c r="L24" s="49"/>
      <c r="M24" s="50"/>
      <c r="N24" s="52">
        <f t="shared" si="6"/>
        <v>0</v>
      </c>
      <c r="O24" s="52">
        <f t="shared" si="7"/>
        <v>0</v>
      </c>
      <c r="P24" s="53">
        <f t="shared" si="8"/>
        <v>0</v>
      </c>
      <c r="Q24" s="54" t="str">
        <f t="shared" si="9"/>
        <v/>
      </c>
      <c r="R24" s="58" t="str">
        <f t="shared" si="10"/>
        <v/>
      </c>
      <c r="S24" s="80"/>
    </row>
    <row r="25" spans="1:19" s="44" customFormat="1">
      <c r="A25" s="15"/>
      <c r="B25" s="79"/>
      <c r="C25" s="18" t="str">
        <f>IF(B25="","",VLOOKUP(B25,'Tabla de proceso'!$B$6:$G$28,2,))</f>
        <v/>
      </c>
      <c r="D25" s="17" t="str">
        <f>IF(B25="","",VLOOKUP(B25,'Tabla de proceso'!$B$5:$G$28,3,0))</f>
        <v/>
      </c>
      <c r="E25" s="13" t="str">
        <f t="shared" si="0"/>
        <v/>
      </c>
      <c r="F25" s="13" t="str">
        <f t="shared" si="1"/>
        <v/>
      </c>
      <c r="G25" s="13" t="str">
        <f t="shared" si="2"/>
        <v/>
      </c>
      <c r="H25" s="13" t="e">
        <f t="shared" si="3"/>
        <v>#VALUE!</v>
      </c>
      <c r="I25" s="47"/>
      <c r="J25" s="16">
        <f t="shared" si="4"/>
        <v>0</v>
      </c>
      <c r="K25" s="45" t="str">
        <f t="shared" si="5"/>
        <v>sábado</v>
      </c>
      <c r="L25" s="49"/>
      <c r="M25" s="50"/>
      <c r="N25" s="52">
        <f t="shared" si="6"/>
        <v>0</v>
      </c>
      <c r="O25" s="52">
        <f t="shared" si="7"/>
        <v>0</v>
      </c>
      <c r="P25" s="53">
        <f t="shared" si="8"/>
        <v>0</v>
      </c>
      <c r="Q25" s="54" t="str">
        <f t="shared" si="9"/>
        <v/>
      </c>
      <c r="R25" s="58" t="str">
        <f t="shared" si="10"/>
        <v/>
      </c>
      <c r="S25" s="80"/>
    </row>
    <row r="26" spans="1:19" s="44" customFormat="1">
      <c r="A26" s="15"/>
      <c r="B26" s="79"/>
      <c r="C26" s="18" t="str">
        <f>IF(B26="","",VLOOKUP(B26,'Tabla de proceso'!$B$6:$G$28,2,))</f>
        <v/>
      </c>
      <c r="D26" s="17" t="str">
        <f>IF(B26="","",VLOOKUP(B26,'Tabla de proceso'!$B$5:$G$28,3,0))</f>
        <v/>
      </c>
      <c r="E26" s="13" t="str">
        <f t="shared" si="0"/>
        <v/>
      </c>
      <c r="F26" s="13" t="str">
        <f t="shared" si="1"/>
        <v/>
      </c>
      <c r="G26" s="13" t="str">
        <f t="shared" si="2"/>
        <v/>
      </c>
      <c r="H26" s="13" t="e">
        <f t="shared" si="3"/>
        <v>#VALUE!</v>
      </c>
      <c r="I26" s="47"/>
      <c r="J26" s="16">
        <f t="shared" si="4"/>
        <v>0</v>
      </c>
      <c r="K26" s="45" t="str">
        <f t="shared" si="5"/>
        <v>sábado</v>
      </c>
      <c r="L26" s="49"/>
      <c r="M26" s="50"/>
      <c r="N26" s="52">
        <f t="shared" si="6"/>
        <v>0</v>
      </c>
      <c r="O26" s="52">
        <f t="shared" si="7"/>
        <v>0</v>
      </c>
      <c r="P26" s="53">
        <f t="shared" si="8"/>
        <v>0</v>
      </c>
      <c r="Q26" s="54" t="str">
        <f t="shared" si="9"/>
        <v/>
      </c>
      <c r="R26" s="58" t="str">
        <f t="shared" si="10"/>
        <v/>
      </c>
      <c r="S26" s="80"/>
    </row>
    <row r="27" spans="1:19" s="44" customFormat="1">
      <c r="A27" s="15"/>
      <c r="B27" s="79"/>
      <c r="C27" s="18" t="str">
        <f>IF(B27="","",VLOOKUP(B27,'Tabla de proceso'!$B$6:$G$28,2,))</f>
        <v/>
      </c>
      <c r="D27" s="17" t="str">
        <f>IF(B27="","",VLOOKUP(B27,'Tabla de proceso'!$B$5:$G$28,3,0))</f>
        <v/>
      </c>
      <c r="E27" s="13" t="str">
        <f t="shared" si="0"/>
        <v/>
      </c>
      <c r="F27" s="13" t="str">
        <f t="shared" si="1"/>
        <v/>
      </c>
      <c r="G27" s="13" t="str">
        <f t="shared" si="2"/>
        <v/>
      </c>
      <c r="H27" s="13" t="e">
        <f t="shared" si="3"/>
        <v>#VALUE!</v>
      </c>
      <c r="I27" s="47"/>
      <c r="J27" s="16">
        <f t="shared" si="4"/>
        <v>0</v>
      </c>
      <c r="K27" s="45" t="str">
        <f t="shared" si="5"/>
        <v>sábado</v>
      </c>
      <c r="L27" s="49"/>
      <c r="M27" s="50"/>
      <c r="N27" s="52">
        <f t="shared" si="6"/>
        <v>0</v>
      </c>
      <c r="O27" s="52">
        <f t="shared" si="7"/>
        <v>0</v>
      </c>
      <c r="P27" s="53">
        <f t="shared" si="8"/>
        <v>0</v>
      </c>
      <c r="Q27" s="54" t="str">
        <f t="shared" si="9"/>
        <v/>
      </c>
      <c r="R27" s="58" t="str">
        <f t="shared" si="10"/>
        <v/>
      </c>
      <c r="S27" s="80"/>
    </row>
    <row r="28" spans="1:19" s="44" customFormat="1">
      <c r="A28" s="15"/>
      <c r="B28" s="79"/>
      <c r="C28" s="18" t="str">
        <f>IF(B28="","",VLOOKUP(B28,'Tabla de proceso'!$B$6:$G$28,2,))</f>
        <v/>
      </c>
      <c r="D28" s="17" t="str">
        <f>IF(B28="","",VLOOKUP(B28,'Tabla de proceso'!$B$5:$G$28,3,0))</f>
        <v/>
      </c>
      <c r="E28" s="13" t="str">
        <f t="shared" si="0"/>
        <v/>
      </c>
      <c r="F28" s="13" t="str">
        <f t="shared" si="1"/>
        <v/>
      </c>
      <c r="G28" s="13" t="str">
        <f t="shared" si="2"/>
        <v/>
      </c>
      <c r="H28" s="13" t="e">
        <f t="shared" si="3"/>
        <v>#VALUE!</v>
      </c>
      <c r="I28" s="47"/>
      <c r="J28" s="16">
        <f t="shared" si="4"/>
        <v>0</v>
      </c>
      <c r="K28" s="45" t="str">
        <f t="shared" si="5"/>
        <v>sábado</v>
      </c>
      <c r="L28" s="49"/>
      <c r="M28" s="50"/>
      <c r="N28" s="52">
        <f t="shared" si="6"/>
        <v>0</v>
      </c>
      <c r="O28" s="52">
        <f t="shared" si="7"/>
        <v>0</v>
      </c>
      <c r="P28" s="53">
        <f t="shared" si="8"/>
        <v>0</v>
      </c>
      <c r="Q28" s="54" t="str">
        <f t="shared" si="9"/>
        <v/>
      </c>
      <c r="R28" s="58" t="str">
        <f t="shared" si="10"/>
        <v/>
      </c>
      <c r="S28" s="80"/>
    </row>
    <row r="29" spans="1:19" s="44" customFormat="1">
      <c r="A29" s="15"/>
      <c r="B29" s="79"/>
      <c r="C29" s="18" t="str">
        <f>IF(B29="","",VLOOKUP(B29,'Tabla de proceso'!$B$6:$G$28,2,))</f>
        <v/>
      </c>
      <c r="D29" s="17" t="str">
        <f>IF(B29="","",VLOOKUP(B29,'Tabla de proceso'!$B$5:$G$28,3,0))</f>
        <v/>
      </c>
      <c r="E29" s="13" t="str">
        <f t="shared" si="0"/>
        <v/>
      </c>
      <c r="F29" s="13" t="str">
        <f t="shared" si="1"/>
        <v/>
      </c>
      <c r="G29" s="13" t="str">
        <f t="shared" si="2"/>
        <v/>
      </c>
      <c r="H29" s="13" t="e">
        <f t="shared" si="3"/>
        <v>#VALUE!</v>
      </c>
      <c r="I29" s="47"/>
      <c r="J29" s="16">
        <f t="shared" si="4"/>
        <v>0</v>
      </c>
      <c r="K29" s="45" t="str">
        <f t="shared" si="5"/>
        <v>sábado</v>
      </c>
      <c r="L29" s="49"/>
      <c r="M29" s="50"/>
      <c r="N29" s="52">
        <f t="shared" si="6"/>
        <v>0</v>
      </c>
      <c r="O29" s="52">
        <f t="shared" si="7"/>
        <v>0</v>
      </c>
      <c r="P29" s="53">
        <f t="shared" si="8"/>
        <v>0</v>
      </c>
      <c r="Q29" s="54" t="str">
        <f t="shared" si="9"/>
        <v/>
      </c>
      <c r="R29" s="58" t="str">
        <f t="shared" si="10"/>
        <v/>
      </c>
      <c r="S29" s="80"/>
    </row>
    <row r="30" spans="1:19" s="44" customFormat="1">
      <c r="A30" s="15"/>
      <c r="B30" s="79"/>
      <c r="C30" s="18" t="str">
        <f>IF(B30="","",VLOOKUP(B30,'Tabla de proceso'!$B$6:$G$28,2,))</f>
        <v/>
      </c>
      <c r="D30" s="17" t="str">
        <f>IF(B30="","",VLOOKUP(B30,'Tabla de proceso'!$B$5:$G$28,3,0))</f>
        <v/>
      </c>
      <c r="E30" s="13" t="str">
        <f t="shared" si="0"/>
        <v/>
      </c>
      <c r="F30" s="13" t="str">
        <f t="shared" si="1"/>
        <v/>
      </c>
      <c r="G30" s="13" t="str">
        <f t="shared" si="2"/>
        <v/>
      </c>
      <c r="H30" s="13" t="e">
        <f t="shared" si="3"/>
        <v>#VALUE!</v>
      </c>
      <c r="I30" s="47"/>
      <c r="J30" s="16">
        <f t="shared" si="4"/>
        <v>0</v>
      </c>
      <c r="K30" s="45" t="str">
        <f t="shared" si="5"/>
        <v>sábado</v>
      </c>
      <c r="L30" s="49"/>
      <c r="M30" s="50"/>
      <c r="N30" s="52">
        <f t="shared" si="6"/>
        <v>0</v>
      </c>
      <c r="O30" s="52">
        <f t="shared" si="7"/>
        <v>0</v>
      </c>
      <c r="P30" s="53">
        <f t="shared" si="8"/>
        <v>0</v>
      </c>
      <c r="Q30" s="54" t="str">
        <f t="shared" si="9"/>
        <v/>
      </c>
      <c r="R30" s="58" t="str">
        <f t="shared" si="10"/>
        <v/>
      </c>
      <c r="S30" s="80"/>
    </row>
    <row r="31" spans="1:19" s="44" customFormat="1">
      <c r="A31" s="15"/>
      <c r="B31" s="79"/>
      <c r="C31" s="18" t="str">
        <f>IF(B31="","",VLOOKUP(B31,'Tabla de proceso'!$B$6:$G$28,2,))</f>
        <v/>
      </c>
      <c r="D31" s="17" t="str">
        <f>IF(B31="","",VLOOKUP(B31,'Tabla de proceso'!$B$5:$G$28,3,0))</f>
        <v/>
      </c>
      <c r="E31" s="13" t="str">
        <f t="shared" si="0"/>
        <v/>
      </c>
      <c r="F31" s="13" t="str">
        <f t="shared" si="1"/>
        <v/>
      </c>
      <c r="G31" s="13" t="str">
        <f t="shared" si="2"/>
        <v/>
      </c>
      <c r="H31" s="13" t="e">
        <f t="shared" si="3"/>
        <v>#VALUE!</v>
      </c>
      <c r="I31" s="47"/>
      <c r="J31" s="16">
        <f t="shared" si="4"/>
        <v>0</v>
      </c>
      <c r="K31" s="45" t="str">
        <f t="shared" si="5"/>
        <v>sábado</v>
      </c>
      <c r="L31" s="49"/>
      <c r="M31" s="50"/>
      <c r="N31" s="52">
        <f t="shared" si="6"/>
        <v>0</v>
      </c>
      <c r="O31" s="52">
        <f t="shared" si="7"/>
        <v>0</v>
      </c>
      <c r="P31" s="53">
        <f t="shared" si="8"/>
        <v>0</v>
      </c>
      <c r="Q31" s="54" t="str">
        <f t="shared" si="9"/>
        <v/>
      </c>
      <c r="R31" s="58" t="str">
        <f t="shared" si="10"/>
        <v/>
      </c>
      <c r="S31" s="80"/>
    </row>
    <row r="32" spans="1:19" s="44" customFormat="1">
      <c r="A32" s="15"/>
      <c r="B32" s="79"/>
      <c r="C32" s="18" t="str">
        <f>IF(B32="","",VLOOKUP(B32,'Tabla de proceso'!$B$6:$G$28,2,))</f>
        <v/>
      </c>
      <c r="D32" s="17" t="str">
        <f>IF(B32="","",VLOOKUP(B32,'Tabla de proceso'!$B$5:$G$28,3,0))</f>
        <v/>
      </c>
      <c r="E32" s="13" t="str">
        <f t="shared" si="0"/>
        <v/>
      </c>
      <c r="F32" s="13" t="str">
        <f t="shared" si="1"/>
        <v/>
      </c>
      <c r="G32" s="13" t="str">
        <f t="shared" si="2"/>
        <v/>
      </c>
      <c r="H32" s="13" t="e">
        <f t="shared" si="3"/>
        <v>#VALUE!</v>
      </c>
      <c r="I32" s="47"/>
      <c r="J32" s="16">
        <f t="shared" si="4"/>
        <v>0</v>
      </c>
      <c r="K32" s="45" t="str">
        <f t="shared" si="5"/>
        <v>sábado</v>
      </c>
      <c r="L32" s="49"/>
      <c r="M32" s="50"/>
      <c r="N32" s="52">
        <f t="shared" si="6"/>
        <v>0</v>
      </c>
      <c r="O32" s="52">
        <f t="shared" si="7"/>
        <v>0</v>
      </c>
      <c r="P32" s="53">
        <f t="shared" si="8"/>
        <v>0</v>
      </c>
      <c r="Q32" s="54" t="str">
        <f t="shared" si="9"/>
        <v/>
      </c>
      <c r="R32" s="58" t="str">
        <f t="shared" si="10"/>
        <v/>
      </c>
      <c r="S32" s="80"/>
    </row>
    <row r="33" spans="1:19" s="44" customFormat="1">
      <c r="A33" s="15"/>
      <c r="B33" s="79"/>
      <c r="C33" s="18" t="str">
        <f>IF(B33="","",VLOOKUP(B33,'Tabla de proceso'!$B$6:$G$28,2,))</f>
        <v/>
      </c>
      <c r="D33" s="17" t="str">
        <f>IF(B33="","",VLOOKUP(B33,'Tabla de proceso'!$B$5:$G$28,3,0))</f>
        <v/>
      </c>
      <c r="E33" s="13" t="str">
        <f t="shared" si="0"/>
        <v/>
      </c>
      <c r="F33" s="13" t="str">
        <f t="shared" si="1"/>
        <v/>
      </c>
      <c r="G33" s="13" t="str">
        <f t="shared" si="2"/>
        <v/>
      </c>
      <c r="H33" s="13" t="e">
        <f t="shared" si="3"/>
        <v>#VALUE!</v>
      </c>
      <c r="I33" s="47"/>
      <c r="J33" s="16">
        <f t="shared" si="4"/>
        <v>0</v>
      </c>
      <c r="K33" s="45" t="str">
        <f t="shared" si="5"/>
        <v>sábado</v>
      </c>
      <c r="L33" s="49"/>
      <c r="M33" s="50"/>
      <c r="N33" s="52">
        <f t="shared" si="6"/>
        <v>0</v>
      </c>
      <c r="O33" s="52">
        <f t="shared" si="7"/>
        <v>0</v>
      </c>
      <c r="P33" s="53">
        <f t="shared" si="8"/>
        <v>0</v>
      </c>
      <c r="Q33" s="54" t="str">
        <f t="shared" si="9"/>
        <v/>
      </c>
      <c r="R33" s="58" t="str">
        <f t="shared" si="10"/>
        <v/>
      </c>
      <c r="S33" s="80"/>
    </row>
    <row r="34" spans="1:19" s="44" customFormat="1">
      <c r="A34" s="15"/>
      <c r="B34" s="76"/>
      <c r="C34" s="18" t="str">
        <f>IF(B34="","",VLOOKUP(B34,'Tabla de proceso'!$B$6:$G$28,2,))</f>
        <v/>
      </c>
      <c r="D34" s="17" t="str">
        <f>IF(B34="","",VLOOKUP(B34,'Tabla de proceso'!$B$5:$G$28,3,0))</f>
        <v/>
      </c>
      <c r="E34" s="13" t="str">
        <f t="shared" si="0"/>
        <v/>
      </c>
      <c r="F34" s="13" t="str">
        <f t="shared" si="1"/>
        <v/>
      </c>
      <c r="G34" s="13" t="str">
        <f t="shared" si="2"/>
        <v/>
      </c>
      <c r="H34" s="13" t="e">
        <f t="shared" si="3"/>
        <v>#VALUE!</v>
      </c>
      <c r="I34" s="47"/>
      <c r="J34" s="16">
        <f t="shared" si="4"/>
        <v>0</v>
      </c>
      <c r="K34" s="45" t="str">
        <f t="shared" si="5"/>
        <v>sábado</v>
      </c>
      <c r="L34" s="49"/>
      <c r="M34" s="50"/>
      <c r="N34" s="52">
        <f t="shared" si="6"/>
        <v>0</v>
      </c>
      <c r="O34" s="52">
        <f t="shared" si="7"/>
        <v>0</v>
      </c>
      <c r="P34" s="53">
        <f t="shared" si="8"/>
        <v>0</v>
      </c>
      <c r="Q34" s="54" t="str">
        <f t="shared" si="9"/>
        <v/>
      </c>
      <c r="R34" s="58" t="str">
        <f t="shared" si="10"/>
        <v/>
      </c>
      <c r="S34" s="80"/>
    </row>
    <row r="35" spans="1:19" s="44" customFormat="1">
      <c r="A35" s="15"/>
      <c r="B35" s="76"/>
      <c r="C35" s="18" t="str">
        <f>IF(B35="","",VLOOKUP(B35,'Tabla de proceso'!$B$6:$G$28,2,))</f>
        <v/>
      </c>
      <c r="D35" s="17" t="str">
        <f>IF(B35="","",VLOOKUP(B35,'Tabla de proceso'!$B$5:$G$28,3,0))</f>
        <v/>
      </c>
      <c r="E35" s="13" t="str">
        <f t="shared" si="0"/>
        <v/>
      </c>
      <c r="F35" s="13" t="str">
        <f t="shared" si="1"/>
        <v/>
      </c>
      <c r="G35" s="13" t="str">
        <f t="shared" si="2"/>
        <v/>
      </c>
      <c r="H35" s="13" t="e">
        <f t="shared" si="3"/>
        <v>#VALUE!</v>
      </c>
      <c r="I35" s="47"/>
      <c r="J35" s="16">
        <f t="shared" si="4"/>
        <v>0</v>
      </c>
      <c r="K35" s="45" t="str">
        <f t="shared" si="5"/>
        <v>sábado</v>
      </c>
      <c r="L35" s="49"/>
      <c r="M35" s="50"/>
      <c r="N35" s="52">
        <f t="shared" si="6"/>
        <v>0</v>
      </c>
      <c r="O35" s="52">
        <f t="shared" si="7"/>
        <v>0</v>
      </c>
      <c r="P35" s="53">
        <f t="shared" si="8"/>
        <v>0</v>
      </c>
      <c r="Q35" s="54" t="str">
        <f t="shared" si="9"/>
        <v/>
      </c>
      <c r="R35" s="58" t="str">
        <f t="shared" si="10"/>
        <v/>
      </c>
      <c r="S35" s="80"/>
    </row>
    <row r="36" spans="1:19" s="44" customFormat="1">
      <c r="A36" s="15"/>
      <c r="B36" s="76"/>
      <c r="C36" s="18" t="str">
        <f>IF(B36="","",VLOOKUP(B36,'Tabla de proceso'!$B$6:$G$28,2,))</f>
        <v/>
      </c>
      <c r="D36" s="17" t="str">
        <f>IF(B36="","",VLOOKUP(B36,'Tabla de proceso'!$B$5:$G$28,3,0))</f>
        <v/>
      </c>
      <c r="E36" s="13" t="str">
        <f t="shared" si="0"/>
        <v/>
      </c>
      <c r="F36" s="13" t="str">
        <f t="shared" si="1"/>
        <v/>
      </c>
      <c r="G36" s="13" t="str">
        <f t="shared" si="2"/>
        <v/>
      </c>
      <c r="H36" s="13" t="e">
        <f t="shared" si="3"/>
        <v>#VALUE!</v>
      </c>
      <c r="I36" s="47"/>
      <c r="J36" s="16">
        <f t="shared" si="4"/>
        <v>0</v>
      </c>
      <c r="K36" s="45" t="str">
        <f t="shared" si="5"/>
        <v>sábado</v>
      </c>
      <c r="L36" s="49"/>
      <c r="M36" s="50"/>
      <c r="N36" s="52">
        <f t="shared" si="6"/>
        <v>0</v>
      </c>
      <c r="O36" s="52">
        <f t="shared" si="7"/>
        <v>0</v>
      </c>
      <c r="P36" s="53">
        <f t="shared" si="8"/>
        <v>0</v>
      </c>
      <c r="Q36" s="54" t="str">
        <f t="shared" si="9"/>
        <v/>
      </c>
      <c r="R36" s="58" t="str">
        <f t="shared" si="10"/>
        <v/>
      </c>
      <c r="S36" s="80"/>
    </row>
    <row r="37" spans="1:19" s="44" customFormat="1">
      <c r="A37" s="15"/>
      <c r="B37" s="76"/>
      <c r="C37" s="18" t="str">
        <f>IF(B37="","",VLOOKUP(B37,'Tabla de proceso'!$B$6:$G$28,2,))</f>
        <v/>
      </c>
      <c r="D37" s="17" t="str">
        <f>IF(B37="","",VLOOKUP(B37,'Tabla de proceso'!$B$5:$G$28,3,0))</f>
        <v/>
      </c>
      <c r="E37" s="13" t="str">
        <f t="shared" si="0"/>
        <v/>
      </c>
      <c r="F37" s="13" t="str">
        <f t="shared" si="1"/>
        <v/>
      </c>
      <c r="G37" s="13" t="str">
        <f t="shared" si="2"/>
        <v/>
      </c>
      <c r="H37" s="13" t="e">
        <f t="shared" si="3"/>
        <v>#VALUE!</v>
      </c>
      <c r="I37" s="47"/>
      <c r="J37" s="16">
        <f t="shared" si="4"/>
        <v>0</v>
      </c>
      <c r="K37" s="45" t="str">
        <f t="shared" si="5"/>
        <v>sábado</v>
      </c>
      <c r="L37" s="49"/>
      <c r="M37" s="50"/>
      <c r="N37" s="52">
        <f t="shared" si="6"/>
        <v>0</v>
      </c>
      <c r="O37" s="52">
        <f t="shared" si="7"/>
        <v>0</v>
      </c>
      <c r="P37" s="53">
        <f t="shared" si="8"/>
        <v>0</v>
      </c>
      <c r="Q37" s="54" t="str">
        <f t="shared" si="9"/>
        <v/>
      </c>
      <c r="R37" s="58" t="str">
        <f t="shared" si="10"/>
        <v/>
      </c>
      <c r="S37" s="80"/>
    </row>
    <row r="38" spans="1:19" s="44" customFormat="1">
      <c r="A38" s="15"/>
      <c r="B38" s="76"/>
      <c r="C38" s="18" t="str">
        <f>IF(B38="","",VLOOKUP(B38,'Tabla de proceso'!$B$6:$G$28,2,))</f>
        <v/>
      </c>
      <c r="D38" s="17" t="str">
        <f>IF(B38="","",VLOOKUP(B38,'Tabla de proceso'!$B$5:$G$28,3,0))</f>
        <v/>
      </c>
      <c r="E38" s="13" t="str">
        <f t="shared" si="0"/>
        <v/>
      </c>
      <c r="F38" s="13" t="str">
        <f t="shared" si="1"/>
        <v/>
      </c>
      <c r="G38" s="13" t="str">
        <f t="shared" si="2"/>
        <v/>
      </c>
      <c r="H38" s="13" t="e">
        <f t="shared" si="3"/>
        <v>#VALUE!</v>
      </c>
      <c r="I38" s="47"/>
      <c r="J38" s="16">
        <f t="shared" si="4"/>
        <v>0</v>
      </c>
      <c r="K38" s="45" t="str">
        <f t="shared" si="5"/>
        <v>sábado</v>
      </c>
      <c r="L38" s="49"/>
      <c r="M38" s="50"/>
      <c r="N38" s="52">
        <f t="shared" si="6"/>
        <v>0</v>
      </c>
      <c r="O38" s="52">
        <f t="shared" si="7"/>
        <v>0</v>
      </c>
      <c r="P38" s="53">
        <f t="shared" si="8"/>
        <v>0</v>
      </c>
      <c r="Q38" s="54" t="str">
        <f t="shared" si="9"/>
        <v/>
      </c>
      <c r="R38" s="58" t="str">
        <f t="shared" si="10"/>
        <v/>
      </c>
      <c r="S38" s="80"/>
    </row>
    <row r="39" spans="1:19" s="44" customFormat="1">
      <c r="A39" s="15"/>
      <c r="B39" s="79"/>
      <c r="C39" s="18" t="str">
        <f>IF(B39="","",VLOOKUP(B39,'Tabla de proceso'!$B$6:$G$28,2,))</f>
        <v/>
      </c>
      <c r="D39" s="17" t="str">
        <f>IF(B39="","",VLOOKUP(B39,'Tabla de proceso'!$B$5:$G$28,3,0))</f>
        <v/>
      </c>
      <c r="E39" s="13" t="str">
        <f t="shared" si="0"/>
        <v/>
      </c>
      <c r="F39" s="13" t="str">
        <f t="shared" si="1"/>
        <v/>
      </c>
      <c r="G39" s="13" t="str">
        <f t="shared" si="2"/>
        <v/>
      </c>
      <c r="H39" s="13" t="e">
        <f t="shared" si="3"/>
        <v>#VALUE!</v>
      </c>
      <c r="I39" s="47"/>
      <c r="J39" s="16">
        <f t="shared" si="4"/>
        <v>0</v>
      </c>
      <c r="K39" s="45" t="str">
        <f t="shared" si="5"/>
        <v>sábado</v>
      </c>
      <c r="L39" s="49"/>
      <c r="M39" s="50"/>
      <c r="N39" s="52">
        <f t="shared" si="6"/>
        <v>0</v>
      </c>
      <c r="O39" s="52">
        <f t="shared" si="7"/>
        <v>0</v>
      </c>
      <c r="P39" s="53">
        <f t="shared" si="8"/>
        <v>0</v>
      </c>
      <c r="Q39" s="54" t="str">
        <f t="shared" si="9"/>
        <v/>
      </c>
      <c r="R39" s="58" t="str">
        <f t="shared" si="10"/>
        <v/>
      </c>
      <c r="S39" s="80"/>
    </row>
    <row r="40" spans="1:19" s="44" customFormat="1">
      <c r="A40" s="15"/>
      <c r="B40" s="79"/>
      <c r="C40" s="18" t="str">
        <f>IF(B40="","",VLOOKUP(B40,'Tabla de proceso'!$B$6:$G$28,2,))</f>
        <v/>
      </c>
      <c r="D40" s="17" t="str">
        <f>IF(B40="","",VLOOKUP(B40,'Tabla de proceso'!$B$5:$G$28,3,0))</f>
        <v/>
      </c>
      <c r="E40" s="13" t="str">
        <f t="shared" si="0"/>
        <v/>
      </c>
      <c r="F40" s="13" t="str">
        <f t="shared" si="1"/>
        <v/>
      </c>
      <c r="G40" s="13" t="str">
        <f t="shared" si="2"/>
        <v/>
      </c>
      <c r="H40" s="13" t="e">
        <f t="shared" si="3"/>
        <v>#VALUE!</v>
      </c>
      <c r="I40" s="47"/>
      <c r="J40" s="16">
        <f t="shared" si="4"/>
        <v>0</v>
      </c>
      <c r="K40" s="45" t="str">
        <f t="shared" si="5"/>
        <v>sábado</v>
      </c>
      <c r="L40" s="49"/>
      <c r="M40" s="50"/>
      <c r="N40" s="52">
        <f t="shared" si="6"/>
        <v>0</v>
      </c>
      <c r="O40" s="52">
        <f t="shared" si="7"/>
        <v>0</v>
      </c>
      <c r="P40" s="53">
        <f t="shared" si="8"/>
        <v>0</v>
      </c>
      <c r="Q40" s="54" t="str">
        <f t="shared" si="9"/>
        <v/>
      </c>
      <c r="R40" s="58" t="str">
        <f t="shared" si="10"/>
        <v/>
      </c>
      <c r="S40" s="80"/>
    </row>
    <row r="41" spans="1:19" s="44" customFormat="1">
      <c r="A41" s="15"/>
      <c r="B41" s="79"/>
      <c r="C41" s="18" t="str">
        <f>IF(B41="","",VLOOKUP(B41,'Tabla de proceso'!$B$6:$G$28,2,))</f>
        <v/>
      </c>
      <c r="D41" s="17" t="str">
        <f>IF(B41="","",VLOOKUP(B41,'Tabla de proceso'!$B$5:$G$28,3,0))</f>
        <v/>
      </c>
      <c r="E41" s="13" t="str">
        <f t="shared" si="0"/>
        <v/>
      </c>
      <c r="F41" s="13" t="str">
        <f t="shared" si="1"/>
        <v/>
      </c>
      <c r="G41" s="13" t="str">
        <f t="shared" si="2"/>
        <v/>
      </c>
      <c r="H41" s="13" t="e">
        <f t="shared" si="3"/>
        <v>#VALUE!</v>
      </c>
      <c r="I41" s="47"/>
      <c r="J41" s="16">
        <f t="shared" si="4"/>
        <v>0</v>
      </c>
      <c r="K41" s="45" t="str">
        <f t="shared" si="5"/>
        <v>sábado</v>
      </c>
      <c r="L41" s="49"/>
      <c r="M41" s="50"/>
      <c r="N41" s="52">
        <f t="shared" si="6"/>
        <v>0</v>
      </c>
      <c r="O41" s="52">
        <f t="shared" si="7"/>
        <v>0</v>
      </c>
      <c r="P41" s="53">
        <f t="shared" si="8"/>
        <v>0</v>
      </c>
      <c r="Q41" s="54" t="str">
        <f t="shared" si="9"/>
        <v/>
      </c>
      <c r="R41" s="58" t="str">
        <f t="shared" si="10"/>
        <v/>
      </c>
      <c r="S41" s="80"/>
    </row>
    <row r="42" spans="1:19" s="44" customFormat="1">
      <c r="A42" s="15"/>
      <c r="B42" s="79"/>
      <c r="C42" s="18" t="str">
        <f>IF(B42="","",VLOOKUP(B42,'Tabla de proceso'!$B$6:$G$28,2,))</f>
        <v/>
      </c>
      <c r="D42" s="17" t="str">
        <f>IF(B42="","",VLOOKUP(B42,'Tabla de proceso'!$B$5:$G$28,3,0))</f>
        <v/>
      </c>
      <c r="E42" s="13" t="str">
        <f t="shared" si="0"/>
        <v/>
      </c>
      <c r="F42" s="13" t="str">
        <f t="shared" si="1"/>
        <v/>
      </c>
      <c r="G42" s="13" t="str">
        <f t="shared" si="2"/>
        <v/>
      </c>
      <c r="H42" s="13" t="e">
        <f t="shared" si="3"/>
        <v>#VALUE!</v>
      </c>
      <c r="I42" s="47"/>
      <c r="J42" s="16">
        <f t="shared" si="4"/>
        <v>0</v>
      </c>
      <c r="K42" s="45" t="str">
        <f t="shared" si="5"/>
        <v>sábado</v>
      </c>
      <c r="L42" s="49"/>
      <c r="M42" s="50"/>
      <c r="N42" s="52">
        <f t="shared" si="6"/>
        <v>0</v>
      </c>
      <c r="O42" s="52">
        <f t="shared" si="7"/>
        <v>0</v>
      </c>
      <c r="P42" s="53">
        <f t="shared" si="8"/>
        <v>0</v>
      </c>
      <c r="Q42" s="54" t="str">
        <f t="shared" si="9"/>
        <v/>
      </c>
      <c r="R42" s="58" t="str">
        <f t="shared" si="10"/>
        <v/>
      </c>
      <c r="S42" s="80"/>
    </row>
    <row r="43" spans="1:19" s="44" customFormat="1">
      <c r="A43" s="15"/>
      <c r="B43" s="79"/>
      <c r="C43" s="18" t="str">
        <f>IF(B43="","",VLOOKUP(B43,'Tabla de proceso'!$B$6:$G$28,2,))</f>
        <v/>
      </c>
      <c r="D43" s="17" t="str">
        <f>IF(B43="","",VLOOKUP(B43,'Tabla de proceso'!$B$5:$G$28,3,0))</f>
        <v/>
      </c>
      <c r="E43" s="13" t="str">
        <f t="shared" si="0"/>
        <v/>
      </c>
      <c r="F43" s="13" t="str">
        <f t="shared" si="1"/>
        <v/>
      </c>
      <c r="G43" s="13" t="str">
        <f t="shared" si="2"/>
        <v/>
      </c>
      <c r="H43" s="13" t="e">
        <f t="shared" si="3"/>
        <v>#VALUE!</v>
      </c>
      <c r="I43" s="47"/>
      <c r="J43" s="16">
        <f t="shared" si="4"/>
        <v>0</v>
      </c>
      <c r="K43" s="45" t="str">
        <f t="shared" si="5"/>
        <v>sábado</v>
      </c>
      <c r="L43" s="49"/>
      <c r="M43" s="50"/>
      <c r="N43" s="52">
        <f t="shared" si="6"/>
        <v>0</v>
      </c>
      <c r="O43" s="52">
        <f t="shared" si="7"/>
        <v>0</v>
      </c>
      <c r="P43" s="53">
        <f t="shared" si="8"/>
        <v>0</v>
      </c>
      <c r="Q43" s="54" t="str">
        <f t="shared" si="9"/>
        <v/>
      </c>
      <c r="R43" s="58" t="str">
        <f t="shared" si="10"/>
        <v/>
      </c>
      <c r="S43" s="80"/>
    </row>
    <row r="44" spans="1:19" s="44" customFormat="1">
      <c r="A44" s="15"/>
      <c r="B44" s="79"/>
      <c r="C44" s="18" t="str">
        <f>IF(B44="","",VLOOKUP(B44,'Tabla de proceso'!$B$6:$G$28,2,))</f>
        <v/>
      </c>
      <c r="D44" s="17" t="str">
        <f>IF(B44="","",VLOOKUP(B44,'Tabla de proceso'!$B$5:$G$28,3,0))</f>
        <v/>
      </c>
      <c r="E44" s="13" t="str">
        <f t="shared" si="0"/>
        <v/>
      </c>
      <c r="F44" s="13" t="str">
        <f t="shared" si="1"/>
        <v/>
      </c>
      <c r="G44" s="13" t="str">
        <f t="shared" si="2"/>
        <v/>
      </c>
      <c r="H44" s="13" t="e">
        <f t="shared" si="3"/>
        <v>#VALUE!</v>
      </c>
      <c r="I44" s="47"/>
      <c r="J44" s="16">
        <f t="shared" si="4"/>
        <v>0</v>
      </c>
      <c r="K44" s="45" t="str">
        <f t="shared" si="5"/>
        <v>sábado</v>
      </c>
      <c r="L44" s="49"/>
      <c r="M44" s="50"/>
      <c r="N44" s="52">
        <f t="shared" si="6"/>
        <v>0</v>
      </c>
      <c r="O44" s="52">
        <f t="shared" si="7"/>
        <v>0</v>
      </c>
      <c r="P44" s="53">
        <f t="shared" si="8"/>
        <v>0</v>
      </c>
      <c r="Q44" s="54" t="str">
        <f t="shared" si="9"/>
        <v/>
      </c>
      <c r="R44" s="58" t="str">
        <f t="shared" si="10"/>
        <v/>
      </c>
      <c r="S44" s="80"/>
    </row>
    <row r="45" spans="1:19" s="44" customFormat="1">
      <c r="A45" s="15"/>
      <c r="B45" s="76"/>
      <c r="C45" s="18" t="str">
        <f>IF(B45="","",VLOOKUP(B45,'Tabla de proceso'!$B$6:$G$28,2,))</f>
        <v/>
      </c>
      <c r="D45" s="17" t="str">
        <f>IF(B45="","",VLOOKUP(B45,'Tabla de proceso'!$B$5:$G$28,3,0))</f>
        <v/>
      </c>
      <c r="E45" s="13" t="str">
        <f t="shared" si="0"/>
        <v/>
      </c>
      <c r="F45" s="13" t="str">
        <f t="shared" si="1"/>
        <v/>
      </c>
      <c r="G45" s="13" t="str">
        <f t="shared" si="2"/>
        <v/>
      </c>
      <c r="H45" s="13" t="e">
        <f t="shared" si="3"/>
        <v>#VALUE!</v>
      </c>
      <c r="I45" s="47"/>
      <c r="J45" s="16">
        <f t="shared" si="4"/>
        <v>0</v>
      </c>
      <c r="K45" s="45" t="str">
        <f t="shared" si="5"/>
        <v>sábado</v>
      </c>
      <c r="L45" s="49"/>
      <c r="M45" s="50"/>
      <c r="N45" s="52">
        <f t="shared" si="6"/>
        <v>0</v>
      </c>
      <c r="O45" s="52">
        <f t="shared" si="7"/>
        <v>0</v>
      </c>
      <c r="P45" s="53">
        <f t="shared" si="8"/>
        <v>0</v>
      </c>
      <c r="Q45" s="54" t="str">
        <f t="shared" si="9"/>
        <v/>
      </c>
      <c r="R45" s="58" t="str">
        <f t="shared" si="10"/>
        <v/>
      </c>
      <c r="S45" s="80"/>
    </row>
    <row r="46" spans="1:19" s="44" customFormat="1">
      <c r="A46" s="15"/>
      <c r="B46" s="76"/>
      <c r="C46" s="18" t="str">
        <f>IF(B46="","",VLOOKUP(B46,'Tabla de proceso'!$B$6:$G$28,2,))</f>
        <v/>
      </c>
      <c r="D46" s="17" t="str">
        <f>IF(B46="","",VLOOKUP(B46,'Tabla de proceso'!$B$5:$G$28,3,0))</f>
        <v/>
      </c>
      <c r="E46" s="13" t="str">
        <f t="shared" si="0"/>
        <v/>
      </c>
      <c r="F46" s="13" t="str">
        <f t="shared" si="1"/>
        <v/>
      </c>
      <c r="G46" s="13" t="str">
        <f t="shared" si="2"/>
        <v/>
      </c>
      <c r="H46" s="13" t="e">
        <f t="shared" si="3"/>
        <v>#VALUE!</v>
      </c>
      <c r="I46" s="47"/>
      <c r="J46" s="16">
        <f t="shared" si="4"/>
        <v>0</v>
      </c>
      <c r="K46" s="45" t="str">
        <f t="shared" si="5"/>
        <v>sábado</v>
      </c>
      <c r="L46" s="49"/>
      <c r="M46" s="50"/>
      <c r="N46" s="52">
        <f t="shared" si="6"/>
        <v>0</v>
      </c>
      <c r="O46" s="52">
        <f t="shared" si="7"/>
        <v>0</v>
      </c>
      <c r="P46" s="53">
        <f t="shared" si="8"/>
        <v>0</v>
      </c>
      <c r="Q46" s="54" t="str">
        <f t="shared" si="9"/>
        <v/>
      </c>
      <c r="R46" s="58" t="str">
        <f t="shared" si="10"/>
        <v/>
      </c>
      <c r="S46" s="80"/>
    </row>
    <row r="47" spans="1:19" s="44" customFormat="1">
      <c r="A47" s="15"/>
      <c r="B47" s="76"/>
      <c r="C47" s="18" t="str">
        <f>IF(B47="","",VLOOKUP(B47,'Tabla de proceso'!$B$6:$G$28,2,))</f>
        <v/>
      </c>
      <c r="D47" s="17" t="str">
        <f>IF(B47="","",VLOOKUP(B47,'Tabla de proceso'!$B$5:$G$28,3,0))</f>
        <v/>
      </c>
      <c r="E47" s="13" t="str">
        <f t="shared" si="0"/>
        <v/>
      </c>
      <c r="F47" s="13" t="str">
        <f t="shared" si="1"/>
        <v/>
      </c>
      <c r="G47" s="13" t="str">
        <f t="shared" si="2"/>
        <v/>
      </c>
      <c r="H47" s="13" t="e">
        <f t="shared" si="3"/>
        <v>#VALUE!</v>
      </c>
      <c r="I47" s="47"/>
      <c r="J47" s="16">
        <f t="shared" si="4"/>
        <v>0</v>
      </c>
      <c r="K47" s="45" t="str">
        <f t="shared" si="5"/>
        <v>sábado</v>
      </c>
      <c r="L47" s="49"/>
      <c r="M47" s="50"/>
      <c r="N47" s="52">
        <f t="shared" si="6"/>
        <v>0</v>
      </c>
      <c r="O47" s="52">
        <f t="shared" si="7"/>
        <v>0</v>
      </c>
      <c r="P47" s="53">
        <f t="shared" si="8"/>
        <v>0</v>
      </c>
      <c r="Q47" s="54" t="str">
        <f t="shared" si="9"/>
        <v/>
      </c>
      <c r="R47" s="58" t="str">
        <f t="shared" si="10"/>
        <v/>
      </c>
      <c r="S47" s="80"/>
    </row>
    <row r="48" spans="1:19" s="44" customFormat="1">
      <c r="A48" s="15"/>
      <c r="B48" s="76"/>
      <c r="C48" s="18" t="str">
        <f>IF(B48="","",VLOOKUP(B48,'Tabla de proceso'!$B$6:$G$28,2,))</f>
        <v/>
      </c>
      <c r="D48" s="17" t="str">
        <f>IF(B48="","",VLOOKUP(B48,'Tabla de proceso'!$B$5:$G$28,3,0))</f>
        <v/>
      </c>
      <c r="E48" s="13" t="str">
        <f t="shared" si="0"/>
        <v/>
      </c>
      <c r="F48" s="13" t="str">
        <f t="shared" si="1"/>
        <v/>
      </c>
      <c r="G48" s="13" t="str">
        <f t="shared" si="2"/>
        <v/>
      </c>
      <c r="H48" s="13" t="e">
        <f t="shared" si="3"/>
        <v>#VALUE!</v>
      </c>
      <c r="I48" s="47"/>
      <c r="J48" s="16">
        <f t="shared" si="4"/>
        <v>0</v>
      </c>
      <c r="K48" s="45" t="str">
        <f t="shared" si="5"/>
        <v>sábado</v>
      </c>
      <c r="L48" s="49"/>
      <c r="M48" s="50"/>
      <c r="N48" s="52">
        <f t="shared" si="6"/>
        <v>0</v>
      </c>
      <c r="O48" s="52">
        <f t="shared" si="7"/>
        <v>0</v>
      </c>
      <c r="P48" s="53">
        <f t="shared" si="8"/>
        <v>0</v>
      </c>
      <c r="Q48" s="54" t="str">
        <f t="shared" si="9"/>
        <v/>
      </c>
      <c r="R48" s="58" t="str">
        <f t="shared" si="10"/>
        <v/>
      </c>
      <c r="S48" s="80"/>
    </row>
    <row r="49" spans="1:19" s="44" customFormat="1">
      <c r="A49" s="15"/>
      <c r="B49" s="76"/>
      <c r="C49" s="18" t="str">
        <f>IF(B49="","",VLOOKUP(B49,'Tabla de proceso'!$B$6:$G$28,2,))</f>
        <v/>
      </c>
      <c r="D49" s="17" t="str">
        <f>IF(B49="","",VLOOKUP(B49,'Tabla de proceso'!$B$5:$G$28,3,0))</f>
        <v/>
      </c>
      <c r="E49" s="13" t="str">
        <f t="shared" si="0"/>
        <v/>
      </c>
      <c r="F49" s="13" t="str">
        <f t="shared" si="1"/>
        <v/>
      </c>
      <c r="G49" s="13" t="str">
        <f t="shared" si="2"/>
        <v/>
      </c>
      <c r="H49" s="13" t="e">
        <f t="shared" si="3"/>
        <v>#VALUE!</v>
      </c>
      <c r="I49" s="47"/>
      <c r="J49" s="16">
        <f t="shared" si="4"/>
        <v>0</v>
      </c>
      <c r="K49" s="45" t="str">
        <f t="shared" si="5"/>
        <v>sábado</v>
      </c>
      <c r="L49" s="49"/>
      <c r="M49" s="50"/>
      <c r="N49" s="52">
        <f t="shared" si="6"/>
        <v>0</v>
      </c>
      <c r="O49" s="52">
        <f t="shared" si="7"/>
        <v>0</v>
      </c>
      <c r="P49" s="53">
        <f t="shared" si="8"/>
        <v>0</v>
      </c>
      <c r="Q49" s="54" t="str">
        <f t="shared" si="9"/>
        <v/>
      </c>
      <c r="R49" s="58" t="str">
        <f t="shared" si="10"/>
        <v/>
      </c>
      <c r="S49" s="80"/>
    </row>
    <row r="50" spans="1:19" s="44" customFormat="1">
      <c r="A50" s="15"/>
      <c r="B50" s="79"/>
      <c r="C50" s="18" t="str">
        <f>IF(B50="","",VLOOKUP(B50,'Tabla de proceso'!$B$6:$G$28,2,))</f>
        <v/>
      </c>
      <c r="D50" s="17" t="str">
        <f>IF(B50="","",VLOOKUP(B50,'Tabla de proceso'!$B$5:$G$28,3,0))</f>
        <v/>
      </c>
      <c r="E50" s="13" t="str">
        <f t="shared" si="0"/>
        <v/>
      </c>
      <c r="F50" s="13" t="str">
        <f t="shared" si="1"/>
        <v/>
      </c>
      <c r="G50" s="13" t="str">
        <f t="shared" si="2"/>
        <v/>
      </c>
      <c r="H50" s="13" t="e">
        <f t="shared" si="3"/>
        <v>#VALUE!</v>
      </c>
      <c r="I50" s="47"/>
      <c r="J50" s="16">
        <f t="shared" si="4"/>
        <v>0</v>
      </c>
      <c r="K50" s="45" t="str">
        <f t="shared" si="5"/>
        <v>sábado</v>
      </c>
      <c r="L50" s="49"/>
      <c r="M50" s="50"/>
      <c r="N50" s="52">
        <f t="shared" si="6"/>
        <v>0</v>
      </c>
      <c r="O50" s="52">
        <f t="shared" si="7"/>
        <v>0</v>
      </c>
      <c r="P50" s="53">
        <f t="shared" si="8"/>
        <v>0</v>
      </c>
      <c r="Q50" s="54" t="str">
        <f t="shared" si="9"/>
        <v/>
      </c>
      <c r="R50" s="58" t="str">
        <f t="shared" si="10"/>
        <v/>
      </c>
      <c r="S50" s="80"/>
    </row>
    <row r="51" spans="1:19" s="44" customFormat="1">
      <c r="A51" s="15"/>
      <c r="B51" s="76"/>
      <c r="C51" s="18" t="str">
        <f>IF(B51="","",VLOOKUP(B51,'Tabla de proceso'!$B$6:$G$28,2,))</f>
        <v/>
      </c>
      <c r="D51" s="17" t="str">
        <f>IF(B51="","",VLOOKUP(B51,'Tabla de proceso'!$B$5:$G$28,3,0))</f>
        <v/>
      </c>
      <c r="E51" s="13" t="str">
        <f t="shared" si="0"/>
        <v/>
      </c>
      <c r="F51" s="13" t="str">
        <f t="shared" si="1"/>
        <v/>
      </c>
      <c r="G51" s="13" t="str">
        <f t="shared" si="2"/>
        <v/>
      </c>
      <c r="H51" s="13" t="e">
        <f t="shared" si="3"/>
        <v>#VALUE!</v>
      </c>
      <c r="I51" s="47"/>
      <c r="J51" s="16">
        <f t="shared" si="4"/>
        <v>0</v>
      </c>
      <c r="K51" s="45" t="str">
        <f t="shared" si="5"/>
        <v>sábado</v>
      </c>
      <c r="L51" s="49"/>
      <c r="M51" s="50"/>
      <c r="N51" s="52">
        <f t="shared" si="6"/>
        <v>0</v>
      </c>
      <c r="O51" s="52">
        <f t="shared" si="7"/>
        <v>0</v>
      </c>
      <c r="P51" s="53">
        <f t="shared" si="8"/>
        <v>0</v>
      </c>
      <c r="Q51" s="54" t="str">
        <f t="shared" si="9"/>
        <v/>
      </c>
      <c r="R51" s="58" t="str">
        <f t="shared" si="10"/>
        <v/>
      </c>
      <c r="S51" s="80"/>
    </row>
    <row r="52" spans="1:19" s="44" customFormat="1">
      <c r="A52" s="15"/>
      <c r="B52" s="76"/>
      <c r="C52" s="18" t="str">
        <f>IF(B52="","",VLOOKUP(B52,'Tabla de proceso'!$B$6:$G$28,2,))</f>
        <v/>
      </c>
      <c r="D52" s="17" t="str">
        <f>IF(B52="","",VLOOKUP(B52,'Tabla de proceso'!$B$5:$G$28,3,0))</f>
        <v/>
      </c>
      <c r="E52" s="13" t="str">
        <f t="shared" si="0"/>
        <v/>
      </c>
      <c r="F52" s="13" t="str">
        <f t="shared" si="1"/>
        <v/>
      </c>
      <c r="G52" s="13" t="str">
        <f t="shared" si="2"/>
        <v/>
      </c>
      <c r="H52" s="13" t="e">
        <f t="shared" si="3"/>
        <v>#VALUE!</v>
      </c>
      <c r="I52" s="47"/>
      <c r="J52" s="16">
        <f t="shared" si="4"/>
        <v>0</v>
      </c>
      <c r="K52" s="45" t="str">
        <f t="shared" si="5"/>
        <v>sábado</v>
      </c>
      <c r="L52" s="49"/>
      <c r="M52" s="50"/>
      <c r="N52" s="52">
        <f t="shared" si="6"/>
        <v>0</v>
      </c>
      <c r="O52" s="52">
        <f t="shared" si="7"/>
        <v>0</v>
      </c>
      <c r="P52" s="53">
        <f t="shared" si="8"/>
        <v>0</v>
      </c>
      <c r="Q52" s="54" t="str">
        <f t="shared" si="9"/>
        <v/>
      </c>
      <c r="R52" s="58" t="str">
        <f t="shared" si="10"/>
        <v/>
      </c>
      <c r="S52" s="80"/>
    </row>
    <row r="53" spans="1:19" s="44" customFormat="1">
      <c r="A53" s="15"/>
      <c r="B53" s="76"/>
      <c r="C53" s="18" t="str">
        <f>IF(B53="","",VLOOKUP(B53,'Tabla de proceso'!$B$6:$G$28,2,))</f>
        <v/>
      </c>
      <c r="D53" s="17" t="str">
        <f>IF(B53="","",VLOOKUP(B53,'Tabla de proceso'!$B$5:$G$28,3,0))</f>
        <v/>
      </c>
      <c r="E53" s="13" t="str">
        <f t="shared" si="0"/>
        <v/>
      </c>
      <c r="F53" s="13" t="str">
        <f t="shared" si="1"/>
        <v/>
      </c>
      <c r="G53" s="13" t="str">
        <f t="shared" si="2"/>
        <v/>
      </c>
      <c r="H53" s="13" t="e">
        <f t="shared" si="3"/>
        <v>#VALUE!</v>
      </c>
      <c r="I53" s="47"/>
      <c r="J53" s="16">
        <f t="shared" si="4"/>
        <v>0</v>
      </c>
      <c r="K53" s="45" t="str">
        <f t="shared" si="5"/>
        <v>sábado</v>
      </c>
      <c r="L53" s="49"/>
      <c r="M53" s="50"/>
      <c r="N53" s="52">
        <f t="shared" si="6"/>
        <v>0</v>
      </c>
      <c r="O53" s="52">
        <f t="shared" si="7"/>
        <v>0</v>
      </c>
      <c r="P53" s="53">
        <f t="shared" si="8"/>
        <v>0</v>
      </c>
      <c r="Q53" s="54" t="str">
        <f t="shared" si="9"/>
        <v/>
      </c>
      <c r="R53" s="58" t="str">
        <f t="shared" si="10"/>
        <v/>
      </c>
      <c r="S53" s="80"/>
    </row>
    <row r="54" spans="1:19" s="44" customFormat="1">
      <c r="A54" s="15"/>
      <c r="B54" s="75"/>
      <c r="C54" s="18" t="str">
        <f>IF(B54="","",VLOOKUP(B54,'Tabla de proceso'!$B$6:$G$28,2,))</f>
        <v/>
      </c>
      <c r="D54" s="17" t="str">
        <f>IF(B54="","",VLOOKUP(B54,'Tabla de proceso'!$B$5:$G$28,3,0))</f>
        <v/>
      </c>
      <c r="E54" s="13" t="str">
        <f t="shared" si="0"/>
        <v/>
      </c>
      <c r="F54" s="13" t="str">
        <f t="shared" si="1"/>
        <v/>
      </c>
      <c r="G54" s="13" t="str">
        <f t="shared" si="2"/>
        <v/>
      </c>
      <c r="H54" s="13" t="e">
        <f t="shared" si="3"/>
        <v>#VALUE!</v>
      </c>
      <c r="I54" s="47"/>
      <c r="J54" s="16">
        <f t="shared" si="4"/>
        <v>0</v>
      </c>
      <c r="K54" s="45" t="str">
        <f t="shared" si="5"/>
        <v>sábado</v>
      </c>
      <c r="L54" s="49"/>
      <c r="M54" s="50"/>
      <c r="N54" s="52">
        <f t="shared" si="6"/>
        <v>0</v>
      </c>
      <c r="O54" s="52">
        <f t="shared" si="7"/>
        <v>0</v>
      </c>
      <c r="P54" s="53">
        <f t="shared" si="8"/>
        <v>0</v>
      </c>
      <c r="Q54" s="54" t="str">
        <f t="shared" si="9"/>
        <v/>
      </c>
      <c r="R54" s="58" t="str">
        <f t="shared" si="10"/>
        <v/>
      </c>
      <c r="S54" s="80"/>
    </row>
    <row r="55" spans="1:19" s="44" customFormat="1">
      <c r="A55" s="15"/>
      <c r="B55" s="79"/>
      <c r="C55" s="18" t="str">
        <f>IF(B55="","",VLOOKUP(B55,'Tabla de proceso'!$B$6:$G$28,2,))</f>
        <v/>
      </c>
      <c r="D55" s="17" t="str">
        <f>IF(B55="","",VLOOKUP(B55,'Tabla de proceso'!$B$5:$G$28,3,0))</f>
        <v/>
      </c>
      <c r="E55" s="13" t="str">
        <f t="shared" si="0"/>
        <v/>
      </c>
      <c r="F55" s="13" t="str">
        <f t="shared" si="1"/>
        <v/>
      </c>
      <c r="G55" s="13" t="str">
        <f t="shared" si="2"/>
        <v/>
      </c>
      <c r="H55" s="13" t="e">
        <f t="shared" si="3"/>
        <v>#VALUE!</v>
      </c>
      <c r="I55" s="47"/>
      <c r="J55" s="16">
        <f t="shared" si="4"/>
        <v>0</v>
      </c>
      <c r="K55" s="45" t="str">
        <f t="shared" si="5"/>
        <v>sábado</v>
      </c>
      <c r="L55" s="49"/>
      <c r="M55" s="50"/>
      <c r="N55" s="52">
        <f t="shared" si="6"/>
        <v>0</v>
      </c>
      <c r="O55" s="52">
        <f t="shared" si="7"/>
        <v>0</v>
      </c>
      <c r="P55" s="53">
        <f t="shared" si="8"/>
        <v>0</v>
      </c>
      <c r="Q55" s="54" t="str">
        <f t="shared" si="9"/>
        <v/>
      </c>
      <c r="R55" s="58" t="str">
        <f t="shared" si="10"/>
        <v/>
      </c>
      <c r="S55" s="80"/>
    </row>
    <row r="56" spans="1:19" s="44" customFormat="1">
      <c r="A56" s="15"/>
      <c r="B56" s="79"/>
      <c r="C56" s="18" t="str">
        <f>IF(B56="","",VLOOKUP(B56,'Tabla de proceso'!$B$6:$G$28,2,))</f>
        <v/>
      </c>
      <c r="D56" s="17" t="str">
        <f>IF(B56="","",VLOOKUP(B56,'Tabla de proceso'!$B$5:$G$28,3,0))</f>
        <v/>
      </c>
      <c r="E56" s="13" t="str">
        <f t="shared" si="0"/>
        <v/>
      </c>
      <c r="F56" s="13" t="str">
        <f t="shared" si="1"/>
        <v/>
      </c>
      <c r="G56" s="13" t="str">
        <f t="shared" si="2"/>
        <v/>
      </c>
      <c r="H56" s="13" t="e">
        <f t="shared" si="3"/>
        <v>#VALUE!</v>
      </c>
      <c r="I56" s="47"/>
      <c r="J56" s="16">
        <f t="shared" si="4"/>
        <v>0</v>
      </c>
      <c r="K56" s="45" t="str">
        <f t="shared" si="5"/>
        <v>sábado</v>
      </c>
      <c r="L56" s="49"/>
      <c r="M56" s="50"/>
      <c r="N56" s="52">
        <f t="shared" si="6"/>
        <v>0</v>
      </c>
      <c r="O56" s="52">
        <f t="shared" si="7"/>
        <v>0</v>
      </c>
      <c r="P56" s="53">
        <f t="shared" si="8"/>
        <v>0</v>
      </c>
      <c r="Q56" s="54" t="str">
        <f t="shared" si="9"/>
        <v/>
      </c>
      <c r="R56" s="58" t="str">
        <f t="shared" si="10"/>
        <v/>
      </c>
      <c r="S56" s="80"/>
    </row>
    <row r="57" spans="1:19" s="44" customFormat="1">
      <c r="A57" s="15"/>
      <c r="B57" s="79"/>
      <c r="C57" s="18" t="str">
        <f>IF(B57="","",VLOOKUP(B57,'Tabla de proceso'!$B$6:$G$28,2,))</f>
        <v/>
      </c>
      <c r="D57" s="17" t="str">
        <f>IF(B57="","",VLOOKUP(B57,'Tabla de proceso'!$B$5:$G$28,3,0))</f>
        <v/>
      </c>
      <c r="E57" s="13" t="str">
        <f t="shared" si="0"/>
        <v/>
      </c>
      <c r="F57" s="13" t="str">
        <f t="shared" si="1"/>
        <v/>
      </c>
      <c r="G57" s="13" t="str">
        <f t="shared" si="2"/>
        <v/>
      </c>
      <c r="H57" s="13" t="e">
        <f t="shared" si="3"/>
        <v>#VALUE!</v>
      </c>
      <c r="I57" s="47"/>
      <c r="J57" s="16">
        <f t="shared" si="4"/>
        <v>0</v>
      </c>
      <c r="K57" s="45" t="str">
        <f t="shared" si="5"/>
        <v>sábado</v>
      </c>
      <c r="L57" s="49"/>
      <c r="M57" s="50"/>
      <c r="N57" s="52">
        <f t="shared" si="6"/>
        <v>0</v>
      </c>
      <c r="O57" s="52">
        <f t="shared" si="7"/>
        <v>0</v>
      </c>
      <c r="P57" s="53">
        <f t="shared" si="8"/>
        <v>0</v>
      </c>
      <c r="Q57" s="54" t="str">
        <f t="shared" si="9"/>
        <v/>
      </c>
      <c r="R57" s="58" t="str">
        <f t="shared" si="10"/>
        <v/>
      </c>
      <c r="S57" s="80"/>
    </row>
    <row r="58" spans="1:19" s="44" customFormat="1">
      <c r="A58" s="15"/>
      <c r="B58" s="79"/>
      <c r="C58" s="18" t="str">
        <f>IF(B58="","",VLOOKUP(B58,'Tabla de proceso'!$B$6:$G$28,2,))</f>
        <v/>
      </c>
      <c r="D58" s="17" t="str">
        <f>IF(B58="","",VLOOKUP(B58,'Tabla de proceso'!$B$5:$G$28,3,0))</f>
        <v/>
      </c>
      <c r="E58" s="13" t="str">
        <f t="shared" si="0"/>
        <v/>
      </c>
      <c r="F58" s="13" t="str">
        <f t="shared" si="1"/>
        <v/>
      </c>
      <c r="G58" s="13" t="str">
        <f t="shared" si="2"/>
        <v/>
      </c>
      <c r="H58" s="13" t="e">
        <f t="shared" si="3"/>
        <v>#VALUE!</v>
      </c>
      <c r="I58" s="47"/>
      <c r="J58" s="16">
        <f t="shared" si="4"/>
        <v>0</v>
      </c>
      <c r="K58" s="45" t="str">
        <f t="shared" si="5"/>
        <v>sábado</v>
      </c>
      <c r="L58" s="49"/>
      <c r="M58" s="50"/>
      <c r="N58" s="52">
        <f t="shared" si="6"/>
        <v>0</v>
      </c>
      <c r="O58" s="52">
        <f t="shared" si="7"/>
        <v>0</v>
      </c>
      <c r="P58" s="53">
        <f t="shared" si="8"/>
        <v>0</v>
      </c>
      <c r="Q58" s="54" t="str">
        <f t="shared" si="9"/>
        <v/>
      </c>
      <c r="R58" s="58" t="str">
        <f t="shared" si="10"/>
        <v/>
      </c>
      <c r="S58" s="80"/>
    </row>
    <row r="59" spans="1:19" s="44" customFormat="1">
      <c r="A59" s="15"/>
      <c r="B59" s="79"/>
      <c r="C59" s="18" t="str">
        <f>IF(B59="","",VLOOKUP(B59,'Tabla de proceso'!$B$6:$G$28,2,))</f>
        <v/>
      </c>
      <c r="D59" s="17" t="str">
        <f>IF(B59="","",VLOOKUP(B59,'Tabla de proceso'!$B$5:$G$28,3,0))</f>
        <v/>
      </c>
      <c r="E59" s="13" t="str">
        <f t="shared" si="0"/>
        <v/>
      </c>
      <c r="F59" s="13" t="str">
        <f t="shared" si="1"/>
        <v/>
      </c>
      <c r="G59" s="13" t="str">
        <f t="shared" si="2"/>
        <v/>
      </c>
      <c r="H59" s="13" t="e">
        <f t="shared" si="3"/>
        <v>#VALUE!</v>
      </c>
      <c r="I59" s="47"/>
      <c r="J59" s="16">
        <f t="shared" si="4"/>
        <v>0</v>
      </c>
      <c r="K59" s="45" t="str">
        <f t="shared" si="5"/>
        <v>sábado</v>
      </c>
      <c r="L59" s="49"/>
      <c r="M59" s="50"/>
      <c r="N59" s="52">
        <f t="shared" si="6"/>
        <v>0</v>
      </c>
      <c r="O59" s="52">
        <f t="shared" si="7"/>
        <v>0</v>
      </c>
      <c r="P59" s="53">
        <f t="shared" si="8"/>
        <v>0</v>
      </c>
      <c r="Q59" s="54" t="str">
        <f t="shared" si="9"/>
        <v/>
      </c>
      <c r="R59" s="58" t="str">
        <f t="shared" si="10"/>
        <v/>
      </c>
      <c r="S59" s="80"/>
    </row>
    <row r="60" spans="1:19" s="44" customFormat="1">
      <c r="A60" s="15"/>
      <c r="B60" s="79"/>
      <c r="C60" s="18" t="str">
        <f>IF(B60="","",VLOOKUP(B60,'Tabla de proceso'!$B$6:$G$28,2,))</f>
        <v/>
      </c>
      <c r="D60" s="17" t="str">
        <f>IF(B60="","",VLOOKUP(B60,'Tabla de proceso'!$B$5:$G$28,3,0))</f>
        <v/>
      </c>
      <c r="E60" s="13" t="str">
        <f t="shared" si="0"/>
        <v/>
      </c>
      <c r="F60" s="13" t="str">
        <f t="shared" si="1"/>
        <v/>
      </c>
      <c r="G60" s="13" t="str">
        <f t="shared" si="2"/>
        <v/>
      </c>
      <c r="H60" s="13" t="e">
        <f t="shared" si="3"/>
        <v>#VALUE!</v>
      </c>
      <c r="I60" s="47"/>
      <c r="J60" s="16">
        <f t="shared" si="4"/>
        <v>0</v>
      </c>
      <c r="K60" s="45" t="str">
        <f t="shared" si="5"/>
        <v>sábado</v>
      </c>
      <c r="L60" s="49"/>
      <c r="M60" s="50"/>
      <c r="N60" s="52">
        <f t="shared" si="6"/>
        <v>0</v>
      </c>
      <c r="O60" s="52">
        <f t="shared" si="7"/>
        <v>0</v>
      </c>
      <c r="P60" s="53">
        <f t="shared" si="8"/>
        <v>0</v>
      </c>
      <c r="Q60" s="54" t="str">
        <f t="shared" si="9"/>
        <v/>
      </c>
      <c r="R60" s="58" t="str">
        <f t="shared" si="10"/>
        <v/>
      </c>
      <c r="S60" s="80"/>
    </row>
    <row r="61" spans="1:19" s="44" customFormat="1">
      <c r="A61" s="15"/>
      <c r="B61" s="79"/>
      <c r="C61" s="18" t="str">
        <f>IF(B61="","",VLOOKUP(B61,'Tabla de proceso'!$B$6:$G$28,2,))</f>
        <v/>
      </c>
      <c r="D61" s="17" t="str">
        <f>IF(B61="","",VLOOKUP(B61,'Tabla de proceso'!$B$5:$G$28,3,0))</f>
        <v/>
      </c>
      <c r="E61" s="13" t="str">
        <f t="shared" si="0"/>
        <v/>
      </c>
      <c r="F61" s="13" t="str">
        <f t="shared" si="1"/>
        <v/>
      </c>
      <c r="G61" s="13" t="str">
        <f t="shared" si="2"/>
        <v/>
      </c>
      <c r="H61" s="13" t="e">
        <f t="shared" si="3"/>
        <v>#VALUE!</v>
      </c>
      <c r="I61" s="47"/>
      <c r="J61" s="16">
        <f t="shared" si="4"/>
        <v>0</v>
      </c>
      <c r="K61" s="45" t="str">
        <f t="shared" si="5"/>
        <v>sábado</v>
      </c>
      <c r="L61" s="49"/>
      <c r="M61" s="50"/>
      <c r="N61" s="52">
        <f t="shared" si="6"/>
        <v>0</v>
      </c>
      <c r="O61" s="52">
        <f t="shared" si="7"/>
        <v>0</v>
      </c>
      <c r="P61" s="53">
        <f t="shared" si="8"/>
        <v>0</v>
      </c>
      <c r="Q61" s="54" t="str">
        <f t="shared" si="9"/>
        <v/>
      </c>
      <c r="R61" s="58" t="str">
        <f t="shared" si="10"/>
        <v/>
      </c>
      <c r="S61" s="80"/>
    </row>
    <row r="62" spans="1:19" s="44" customFormat="1">
      <c r="A62" s="15"/>
      <c r="B62" s="79"/>
      <c r="C62" s="18" t="str">
        <f>IF(B62="","",VLOOKUP(B62,'Tabla de proceso'!$B$6:$G$28,2,))</f>
        <v/>
      </c>
      <c r="D62" s="17" t="str">
        <f>IF(B62="","",VLOOKUP(B62,'Tabla de proceso'!$B$5:$G$28,3,0))</f>
        <v/>
      </c>
      <c r="E62" s="13" t="str">
        <f t="shared" si="0"/>
        <v/>
      </c>
      <c r="F62" s="13" t="str">
        <f t="shared" si="1"/>
        <v/>
      </c>
      <c r="G62" s="13" t="str">
        <f t="shared" si="2"/>
        <v/>
      </c>
      <c r="H62" s="13" t="e">
        <f t="shared" si="3"/>
        <v>#VALUE!</v>
      </c>
      <c r="I62" s="47"/>
      <c r="J62" s="16">
        <f t="shared" si="4"/>
        <v>0</v>
      </c>
      <c r="K62" s="45" t="str">
        <f t="shared" si="5"/>
        <v>sábado</v>
      </c>
      <c r="L62" s="49"/>
      <c r="M62" s="50"/>
      <c r="N62" s="52">
        <f t="shared" si="6"/>
        <v>0</v>
      </c>
      <c r="O62" s="52">
        <f t="shared" si="7"/>
        <v>0</v>
      </c>
      <c r="P62" s="53">
        <f t="shared" si="8"/>
        <v>0</v>
      </c>
      <c r="Q62" s="54" t="str">
        <f t="shared" si="9"/>
        <v/>
      </c>
      <c r="R62" s="58" t="str">
        <f t="shared" si="10"/>
        <v/>
      </c>
      <c r="S62" s="80"/>
    </row>
    <row r="63" spans="1:19" s="44" customFormat="1">
      <c r="A63" s="15"/>
      <c r="B63" s="79"/>
      <c r="C63" s="18" t="str">
        <f>IF(B63="","",VLOOKUP(B63,'Tabla de proceso'!$B$6:$G$28,2,))</f>
        <v/>
      </c>
      <c r="D63" s="17" t="str">
        <f>IF(B63="","",VLOOKUP(B63,'Tabla de proceso'!$B$5:$G$28,3,0))</f>
        <v/>
      </c>
      <c r="E63" s="13" t="str">
        <f t="shared" si="0"/>
        <v/>
      </c>
      <c r="F63" s="13" t="str">
        <f t="shared" si="1"/>
        <v/>
      </c>
      <c r="G63" s="13" t="str">
        <f t="shared" si="2"/>
        <v/>
      </c>
      <c r="H63" s="13" t="e">
        <f t="shared" si="3"/>
        <v>#VALUE!</v>
      </c>
      <c r="I63" s="47"/>
      <c r="J63" s="16">
        <f t="shared" si="4"/>
        <v>0</v>
      </c>
      <c r="K63" s="45" t="str">
        <f t="shared" si="5"/>
        <v>sábado</v>
      </c>
      <c r="L63" s="49"/>
      <c r="M63" s="50"/>
      <c r="N63" s="52">
        <f t="shared" si="6"/>
        <v>0</v>
      </c>
      <c r="O63" s="52">
        <f t="shared" si="7"/>
        <v>0</v>
      </c>
      <c r="P63" s="53">
        <f t="shared" si="8"/>
        <v>0</v>
      </c>
      <c r="Q63" s="54" t="str">
        <f t="shared" si="9"/>
        <v/>
      </c>
      <c r="R63" s="58" t="str">
        <f t="shared" si="10"/>
        <v/>
      </c>
      <c r="S63" s="80"/>
    </row>
    <row r="64" spans="1:19" s="44" customFormat="1">
      <c r="A64" s="15"/>
      <c r="B64" s="79"/>
      <c r="C64" s="18" t="str">
        <f>IF(B64="","",VLOOKUP(B64,'Tabla de proceso'!$B$6:$G$28,2,))</f>
        <v/>
      </c>
      <c r="D64" s="17" t="str">
        <f>IF(B64="","",VLOOKUP(B64,'Tabla de proceso'!$B$5:$G$28,3,0))</f>
        <v/>
      </c>
      <c r="E64" s="13" t="str">
        <f t="shared" si="0"/>
        <v/>
      </c>
      <c r="F64" s="13" t="str">
        <f t="shared" si="1"/>
        <v/>
      </c>
      <c r="G64" s="13" t="str">
        <f t="shared" si="2"/>
        <v/>
      </c>
      <c r="H64" s="13" t="e">
        <f t="shared" si="3"/>
        <v>#VALUE!</v>
      </c>
      <c r="I64" s="47"/>
      <c r="J64" s="16">
        <f t="shared" si="4"/>
        <v>0</v>
      </c>
      <c r="K64" s="45" t="str">
        <f t="shared" si="5"/>
        <v>sábado</v>
      </c>
      <c r="L64" s="49"/>
      <c r="M64" s="50"/>
      <c r="N64" s="52">
        <f t="shared" si="6"/>
        <v>0</v>
      </c>
      <c r="O64" s="52">
        <f t="shared" si="7"/>
        <v>0</v>
      </c>
      <c r="P64" s="53">
        <f t="shared" si="8"/>
        <v>0</v>
      </c>
      <c r="Q64" s="54" t="str">
        <f t="shared" si="9"/>
        <v/>
      </c>
      <c r="R64" s="58" t="str">
        <f t="shared" si="10"/>
        <v/>
      </c>
      <c r="S64" s="80"/>
    </row>
    <row r="65" spans="1:19" s="44" customFormat="1">
      <c r="A65" s="15"/>
      <c r="B65" s="79"/>
      <c r="C65" s="18" t="str">
        <f>IF(B65="","",VLOOKUP(B65,'Tabla de proceso'!$B$6:$G$28,2,))</f>
        <v/>
      </c>
      <c r="D65" s="17" t="str">
        <f>IF(B65="","",VLOOKUP(B65,'Tabla de proceso'!$B$5:$G$28,3,0))</f>
        <v/>
      </c>
      <c r="E65" s="13" t="str">
        <f t="shared" si="0"/>
        <v/>
      </c>
      <c r="F65" s="13" t="str">
        <f t="shared" si="1"/>
        <v/>
      </c>
      <c r="G65" s="13" t="str">
        <f t="shared" si="2"/>
        <v/>
      </c>
      <c r="H65" s="13" t="e">
        <f t="shared" si="3"/>
        <v>#VALUE!</v>
      </c>
      <c r="I65" s="47"/>
      <c r="J65" s="16">
        <f t="shared" si="4"/>
        <v>0</v>
      </c>
      <c r="K65" s="45" t="str">
        <f t="shared" si="5"/>
        <v>sábado</v>
      </c>
      <c r="L65" s="49"/>
      <c r="M65" s="50"/>
      <c r="N65" s="52">
        <f t="shared" si="6"/>
        <v>0</v>
      </c>
      <c r="O65" s="52">
        <f t="shared" si="7"/>
        <v>0</v>
      </c>
      <c r="P65" s="53">
        <f t="shared" si="8"/>
        <v>0</v>
      </c>
      <c r="Q65" s="54" t="str">
        <f t="shared" si="9"/>
        <v/>
      </c>
      <c r="R65" s="58" t="str">
        <f t="shared" si="10"/>
        <v/>
      </c>
      <c r="S65" s="80"/>
    </row>
    <row r="66" spans="1:19" s="44" customFormat="1">
      <c r="A66" s="15"/>
      <c r="B66" s="79"/>
      <c r="C66" s="18" t="str">
        <f>IF(B66="","",VLOOKUP(B66,'Tabla de proceso'!$B$6:$G$28,2,))</f>
        <v/>
      </c>
      <c r="D66" s="17" t="str">
        <f>IF(B66="","",VLOOKUP(B66,'Tabla de proceso'!$B$5:$G$28,3,0))</f>
        <v/>
      </c>
      <c r="E66" s="13" t="str">
        <f t="shared" si="0"/>
        <v/>
      </c>
      <c r="F66" s="13" t="str">
        <f t="shared" si="1"/>
        <v/>
      </c>
      <c r="G66" s="13" t="str">
        <f t="shared" si="2"/>
        <v/>
      </c>
      <c r="H66" s="13" t="e">
        <f t="shared" si="3"/>
        <v>#VALUE!</v>
      </c>
      <c r="I66" s="47"/>
      <c r="J66" s="16">
        <f t="shared" si="4"/>
        <v>0</v>
      </c>
      <c r="K66" s="45" t="str">
        <f t="shared" si="5"/>
        <v>sábado</v>
      </c>
      <c r="L66" s="49"/>
      <c r="M66" s="50"/>
      <c r="N66" s="52">
        <f t="shared" si="6"/>
        <v>0</v>
      </c>
      <c r="O66" s="52">
        <f t="shared" si="7"/>
        <v>0</v>
      </c>
      <c r="P66" s="53">
        <f t="shared" si="8"/>
        <v>0</v>
      </c>
      <c r="Q66" s="54" t="str">
        <f t="shared" si="9"/>
        <v/>
      </c>
      <c r="R66" s="58" t="str">
        <f t="shared" si="10"/>
        <v/>
      </c>
      <c r="S66" s="80"/>
    </row>
    <row r="67" spans="1:19" s="44" customFormat="1">
      <c r="A67" s="15"/>
      <c r="B67" s="79"/>
      <c r="C67" s="18" t="str">
        <f>IF(B67="","",VLOOKUP(B67,'Tabla de proceso'!$B$6:$G$28,2,))</f>
        <v/>
      </c>
      <c r="D67" s="17" t="str">
        <f>IF(B67="","",VLOOKUP(B67,'Tabla de proceso'!$B$5:$G$28,3,0))</f>
        <v/>
      </c>
      <c r="E67" s="13" t="str">
        <f t="shared" si="0"/>
        <v/>
      </c>
      <c r="F67" s="13" t="str">
        <f t="shared" si="1"/>
        <v/>
      </c>
      <c r="G67" s="13" t="str">
        <f t="shared" si="2"/>
        <v/>
      </c>
      <c r="H67" s="13" t="e">
        <f t="shared" si="3"/>
        <v>#VALUE!</v>
      </c>
      <c r="I67" s="47"/>
      <c r="J67" s="16">
        <f t="shared" si="4"/>
        <v>0</v>
      </c>
      <c r="K67" s="45" t="str">
        <f t="shared" si="5"/>
        <v>sábado</v>
      </c>
      <c r="L67" s="49"/>
      <c r="M67" s="50"/>
      <c r="N67" s="52">
        <f t="shared" si="6"/>
        <v>0</v>
      </c>
      <c r="O67" s="52">
        <f t="shared" si="7"/>
        <v>0</v>
      </c>
      <c r="P67" s="53">
        <f t="shared" si="8"/>
        <v>0</v>
      </c>
      <c r="Q67" s="54" t="str">
        <f t="shared" si="9"/>
        <v/>
      </c>
      <c r="R67" s="58" t="str">
        <f t="shared" si="10"/>
        <v/>
      </c>
      <c r="S67" s="80"/>
    </row>
    <row r="68" spans="1:19" s="44" customFormat="1">
      <c r="A68" s="15"/>
      <c r="B68" s="79"/>
      <c r="C68" s="18" t="str">
        <f>IF(B68="","",VLOOKUP(B68,'Tabla de proceso'!$B$6:$G$28,2,))</f>
        <v/>
      </c>
      <c r="D68" s="17" t="str">
        <f>IF(B68="","",VLOOKUP(B68,'Tabla de proceso'!$B$5:$G$28,3,0))</f>
        <v/>
      </c>
      <c r="E68" s="13" t="str">
        <f t="shared" si="0"/>
        <v/>
      </c>
      <c r="F68" s="13" t="str">
        <f t="shared" si="1"/>
        <v/>
      </c>
      <c r="G68" s="13" t="str">
        <f t="shared" si="2"/>
        <v/>
      </c>
      <c r="H68" s="13" t="e">
        <f t="shared" si="3"/>
        <v>#VALUE!</v>
      </c>
      <c r="I68" s="47"/>
      <c r="J68" s="16">
        <f t="shared" si="4"/>
        <v>0</v>
      </c>
      <c r="K68" s="45" t="str">
        <f t="shared" si="5"/>
        <v>sábado</v>
      </c>
      <c r="L68" s="49"/>
      <c r="M68" s="50"/>
      <c r="N68" s="52">
        <f t="shared" si="6"/>
        <v>0</v>
      </c>
      <c r="O68" s="52">
        <f t="shared" si="7"/>
        <v>0</v>
      </c>
      <c r="P68" s="53">
        <f t="shared" si="8"/>
        <v>0</v>
      </c>
      <c r="Q68" s="54" t="str">
        <f t="shared" si="9"/>
        <v/>
      </c>
      <c r="R68" s="58" t="str">
        <f t="shared" si="10"/>
        <v/>
      </c>
      <c r="S68" s="80"/>
    </row>
    <row r="69" spans="1:19" s="44" customFormat="1">
      <c r="A69" s="15"/>
      <c r="B69" s="79"/>
      <c r="C69" s="18" t="str">
        <f>IF(B69="","",VLOOKUP(B69,'Tabla de proceso'!$B$6:$G$28,2,))</f>
        <v/>
      </c>
      <c r="D69" s="17" t="str">
        <f>IF(B69="","",VLOOKUP(B69,'Tabla de proceso'!$B$5:$G$28,3,0))</f>
        <v/>
      </c>
      <c r="E69" s="13" t="str">
        <f t="shared" si="0"/>
        <v/>
      </c>
      <c r="F69" s="13" t="str">
        <f t="shared" si="1"/>
        <v/>
      </c>
      <c r="G69" s="13" t="str">
        <f t="shared" si="2"/>
        <v/>
      </c>
      <c r="H69" s="13" t="e">
        <f t="shared" si="3"/>
        <v>#VALUE!</v>
      </c>
      <c r="I69" s="47"/>
      <c r="J69" s="16">
        <f t="shared" si="4"/>
        <v>0</v>
      </c>
      <c r="K69" s="45" t="str">
        <f t="shared" si="5"/>
        <v>sábado</v>
      </c>
      <c r="L69" s="49"/>
      <c r="M69" s="50"/>
      <c r="N69" s="52">
        <f t="shared" si="6"/>
        <v>0</v>
      </c>
      <c r="O69" s="52">
        <f t="shared" si="7"/>
        <v>0</v>
      </c>
      <c r="P69" s="53">
        <f t="shared" si="8"/>
        <v>0</v>
      </c>
      <c r="Q69" s="54" t="str">
        <f t="shared" si="9"/>
        <v/>
      </c>
      <c r="R69" s="58" t="str">
        <f t="shared" si="10"/>
        <v/>
      </c>
      <c r="S69" s="80"/>
    </row>
    <row r="70" spans="1:19" s="44" customFormat="1">
      <c r="A70" s="15"/>
      <c r="B70" s="79"/>
      <c r="C70" s="18" t="str">
        <f>IF(B70="","",VLOOKUP(B70,'Tabla de proceso'!$B$6:$G$28,2,))</f>
        <v/>
      </c>
      <c r="D70" s="17" t="str">
        <f>IF(B70="","",VLOOKUP(B70,'Tabla de proceso'!$B$5:$G$28,3,0))</f>
        <v/>
      </c>
      <c r="E70" s="13" t="str">
        <f t="shared" ref="E70:E133" si="11">D70</f>
        <v/>
      </c>
      <c r="F70" s="13" t="str">
        <f t="shared" ref="F70:F133" si="12">IF(E70="","",+$E70/9)</f>
        <v/>
      </c>
      <c r="G70" s="13" t="str">
        <f t="shared" ref="G70:G133" si="13">IF(E70="","",($E70/60)/9)</f>
        <v/>
      </c>
      <c r="H70" s="13" t="e">
        <f t="shared" ref="H70:H133" si="14">+$E70*5</f>
        <v>#VALUE!</v>
      </c>
      <c r="I70" s="47"/>
      <c r="J70" s="16">
        <f t="shared" ref="J70:J133" si="15">+WEEKNUM(I70)</f>
        <v>0</v>
      </c>
      <c r="K70" s="45" t="str">
        <f t="shared" ref="K70:K133" si="16">+TEXT($I70,"dddd")</f>
        <v>sábado</v>
      </c>
      <c r="L70" s="49"/>
      <c r="M70" s="50"/>
      <c r="N70" s="52">
        <f t="shared" ref="N70:N133" si="17">+HOUR($M70)</f>
        <v>0</v>
      </c>
      <c r="O70" s="52">
        <f t="shared" ref="O70:O133" si="18">+MINUTE($M70)</f>
        <v>0</v>
      </c>
      <c r="P70" s="53">
        <f t="shared" ref="P70:P133" si="19">+($N70*60)+$O70</f>
        <v>0</v>
      </c>
      <c r="Q70" s="54" t="str">
        <f t="shared" ref="Q70:Q133" si="20">IF(G70="","",+$G70*$P70)</f>
        <v/>
      </c>
      <c r="R70" s="58" t="str">
        <f t="shared" ref="R70:R133" si="21">IF($Q70="","",$L70/$Q70)</f>
        <v/>
      </c>
      <c r="S70" s="80"/>
    </row>
    <row r="71" spans="1:19" s="44" customFormat="1">
      <c r="A71" s="15"/>
      <c r="B71" s="79"/>
      <c r="C71" s="18" t="str">
        <f>IF(B71="","",VLOOKUP(B71,'Tabla de proceso'!$B$6:$G$28,2,))</f>
        <v/>
      </c>
      <c r="D71" s="17" t="str">
        <f>IF(B71="","",VLOOKUP(B71,'Tabla de proceso'!$B$5:$G$28,3,0))</f>
        <v/>
      </c>
      <c r="E71" s="13" t="str">
        <f t="shared" si="11"/>
        <v/>
      </c>
      <c r="F71" s="13" t="str">
        <f t="shared" si="12"/>
        <v/>
      </c>
      <c r="G71" s="13" t="str">
        <f t="shared" si="13"/>
        <v/>
      </c>
      <c r="H71" s="13" t="e">
        <f t="shared" si="14"/>
        <v>#VALUE!</v>
      </c>
      <c r="I71" s="47"/>
      <c r="J71" s="16">
        <f t="shared" si="15"/>
        <v>0</v>
      </c>
      <c r="K71" s="45" t="str">
        <f t="shared" si="16"/>
        <v>sábado</v>
      </c>
      <c r="L71" s="49"/>
      <c r="M71" s="50"/>
      <c r="N71" s="52">
        <f t="shared" si="17"/>
        <v>0</v>
      </c>
      <c r="O71" s="52">
        <f t="shared" si="18"/>
        <v>0</v>
      </c>
      <c r="P71" s="53">
        <f t="shared" si="19"/>
        <v>0</v>
      </c>
      <c r="Q71" s="54" t="str">
        <f t="shared" si="20"/>
        <v/>
      </c>
      <c r="R71" s="58" t="str">
        <f t="shared" si="21"/>
        <v/>
      </c>
      <c r="S71" s="80"/>
    </row>
    <row r="72" spans="1:19" s="44" customFormat="1">
      <c r="A72" s="15"/>
      <c r="B72" s="79"/>
      <c r="C72" s="18" t="str">
        <f>IF(B72="","",VLOOKUP(B72,'Tabla de proceso'!$B$6:$G$28,2,))</f>
        <v/>
      </c>
      <c r="D72" s="17" t="str">
        <f>IF(B72="","",VLOOKUP(B72,'Tabla de proceso'!$B$5:$G$28,3,0))</f>
        <v/>
      </c>
      <c r="E72" s="13" t="str">
        <f t="shared" si="11"/>
        <v/>
      </c>
      <c r="F72" s="13" t="str">
        <f t="shared" si="12"/>
        <v/>
      </c>
      <c r="G72" s="13" t="str">
        <f t="shared" si="13"/>
        <v/>
      </c>
      <c r="H72" s="13" t="e">
        <f t="shared" si="14"/>
        <v>#VALUE!</v>
      </c>
      <c r="I72" s="47"/>
      <c r="J72" s="16">
        <f t="shared" si="15"/>
        <v>0</v>
      </c>
      <c r="K72" s="45" t="str">
        <f t="shared" si="16"/>
        <v>sábado</v>
      </c>
      <c r="L72" s="49"/>
      <c r="M72" s="50"/>
      <c r="N72" s="52">
        <f t="shared" si="17"/>
        <v>0</v>
      </c>
      <c r="O72" s="52">
        <f t="shared" si="18"/>
        <v>0</v>
      </c>
      <c r="P72" s="53">
        <f t="shared" si="19"/>
        <v>0</v>
      </c>
      <c r="Q72" s="54" t="str">
        <f t="shared" si="20"/>
        <v/>
      </c>
      <c r="R72" s="58" t="str">
        <f t="shared" si="21"/>
        <v/>
      </c>
      <c r="S72" s="80"/>
    </row>
    <row r="73" spans="1:19" s="44" customFormat="1">
      <c r="A73" s="15"/>
      <c r="B73" s="79"/>
      <c r="C73" s="18" t="str">
        <f>IF(B73="","",VLOOKUP(B73,'Tabla de proceso'!$B$6:$G$28,2,))</f>
        <v/>
      </c>
      <c r="D73" s="17" t="str">
        <f>IF(B73="","",VLOOKUP(B73,'Tabla de proceso'!$B$5:$G$28,3,0))</f>
        <v/>
      </c>
      <c r="E73" s="13" t="str">
        <f t="shared" si="11"/>
        <v/>
      </c>
      <c r="F73" s="13" t="str">
        <f t="shared" si="12"/>
        <v/>
      </c>
      <c r="G73" s="13" t="str">
        <f t="shared" si="13"/>
        <v/>
      </c>
      <c r="H73" s="13" t="e">
        <f t="shared" si="14"/>
        <v>#VALUE!</v>
      </c>
      <c r="I73" s="47"/>
      <c r="J73" s="16">
        <f t="shared" si="15"/>
        <v>0</v>
      </c>
      <c r="K73" s="45" t="str">
        <f t="shared" si="16"/>
        <v>sábado</v>
      </c>
      <c r="L73" s="49"/>
      <c r="M73" s="50"/>
      <c r="N73" s="52">
        <f t="shared" si="17"/>
        <v>0</v>
      </c>
      <c r="O73" s="52">
        <f t="shared" si="18"/>
        <v>0</v>
      </c>
      <c r="P73" s="53">
        <f t="shared" si="19"/>
        <v>0</v>
      </c>
      <c r="Q73" s="54" t="str">
        <f t="shared" si="20"/>
        <v/>
      </c>
      <c r="R73" s="58" t="str">
        <f t="shared" si="21"/>
        <v/>
      </c>
      <c r="S73" s="80"/>
    </row>
    <row r="74" spans="1:19" s="44" customFormat="1">
      <c r="A74" s="15"/>
      <c r="B74" s="79"/>
      <c r="C74" s="18" t="str">
        <f>IF(B74="","",VLOOKUP(B74,'Tabla de proceso'!$B$6:$G$28,2,))</f>
        <v/>
      </c>
      <c r="D74" s="17" t="str">
        <f>IF(B74="","",VLOOKUP(B74,'Tabla de proceso'!$B$5:$G$28,3,0))</f>
        <v/>
      </c>
      <c r="E74" s="13" t="str">
        <f t="shared" si="11"/>
        <v/>
      </c>
      <c r="F74" s="13" t="str">
        <f t="shared" si="12"/>
        <v/>
      </c>
      <c r="G74" s="13" t="str">
        <f t="shared" si="13"/>
        <v/>
      </c>
      <c r="H74" s="13" t="e">
        <f t="shared" si="14"/>
        <v>#VALUE!</v>
      </c>
      <c r="I74" s="47"/>
      <c r="J74" s="16">
        <f t="shared" si="15"/>
        <v>0</v>
      </c>
      <c r="K74" s="45" t="str">
        <f t="shared" si="16"/>
        <v>sábado</v>
      </c>
      <c r="L74" s="49"/>
      <c r="M74" s="50"/>
      <c r="N74" s="52">
        <f t="shared" si="17"/>
        <v>0</v>
      </c>
      <c r="O74" s="52">
        <f t="shared" si="18"/>
        <v>0</v>
      </c>
      <c r="P74" s="53">
        <f t="shared" si="19"/>
        <v>0</v>
      </c>
      <c r="Q74" s="54" t="str">
        <f t="shared" si="20"/>
        <v/>
      </c>
      <c r="R74" s="58" t="str">
        <f t="shared" si="21"/>
        <v/>
      </c>
      <c r="S74" s="80"/>
    </row>
    <row r="75" spans="1:19" s="44" customFormat="1">
      <c r="A75" s="15"/>
      <c r="B75" s="79"/>
      <c r="C75" s="18" t="str">
        <f>IF(B75="","",VLOOKUP(B75,'Tabla de proceso'!$B$6:$G$28,2,))</f>
        <v/>
      </c>
      <c r="D75" s="17" t="str">
        <f>IF(B75="","",VLOOKUP(B75,'Tabla de proceso'!$B$5:$G$28,3,0))</f>
        <v/>
      </c>
      <c r="E75" s="13" t="str">
        <f t="shared" si="11"/>
        <v/>
      </c>
      <c r="F75" s="13" t="str">
        <f t="shared" si="12"/>
        <v/>
      </c>
      <c r="G75" s="13" t="str">
        <f t="shared" si="13"/>
        <v/>
      </c>
      <c r="H75" s="13" t="e">
        <f t="shared" si="14"/>
        <v>#VALUE!</v>
      </c>
      <c r="I75" s="47"/>
      <c r="J75" s="16">
        <f t="shared" si="15"/>
        <v>0</v>
      </c>
      <c r="K75" s="45" t="str">
        <f t="shared" si="16"/>
        <v>sábado</v>
      </c>
      <c r="L75" s="49"/>
      <c r="M75" s="50"/>
      <c r="N75" s="52">
        <f t="shared" si="17"/>
        <v>0</v>
      </c>
      <c r="O75" s="52">
        <f t="shared" si="18"/>
        <v>0</v>
      </c>
      <c r="P75" s="53">
        <f t="shared" si="19"/>
        <v>0</v>
      </c>
      <c r="Q75" s="54" t="str">
        <f t="shared" si="20"/>
        <v/>
      </c>
      <c r="R75" s="58" t="str">
        <f t="shared" si="21"/>
        <v/>
      </c>
      <c r="S75" s="80"/>
    </row>
    <row r="76" spans="1:19" s="44" customFormat="1">
      <c r="A76" s="15"/>
      <c r="B76" s="79"/>
      <c r="C76" s="18" t="str">
        <f>IF(B76="","",VLOOKUP(B76,'Tabla de proceso'!$B$6:$G$28,2,))</f>
        <v/>
      </c>
      <c r="D76" s="17" t="str">
        <f>IF(B76="","",VLOOKUP(B76,'Tabla de proceso'!$B$5:$G$28,3,0))</f>
        <v/>
      </c>
      <c r="E76" s="13" t="str">
        <f t="shared" si="11"/>
        <v/>
      </c>
      <c r="F76" s="13" t="str">
        <f t="shared" si="12"/>
        <v/>
      </c>
      <c r="G76" s="13" t="str">
        <f t="shared" si="13"/>
        <v/>
      </c>
      <c r="H76" s="13" t="e">
        <f t="shared" si="14"/>
        <v>#VALUE!</v>
      </c>
      <c r="I76" s="47"/>
      <c r="J76" s="16">
        <f t="shared" si="15"/>
        <v>0</v>
      </c>
      <c r="K76" s="45" t="str">
        <f t="shared" si="16"/>
        <v>sábado</v>
      </c>
      <c r="L76" s="49"/>
      <c r="M76" s="50"/>
      <c r="N76" s="52">
        <f t="shared" si="17"/>
        <v>0</v>
      </c>
      <c r="O76" s="52">
        <f t="shared" si="18"/>
        <v>0</v>
      </c>
      <c r="P76" s="53">
        <f t="shared" si="19"/>
        <v>0</v>
      </c>
      <c r="Q76" s="54" t="str">
        <f t="shared" si="20"/>
        <v/>
      </c>
      <c r="R76" s="58" t="str">
        <f t="shared" si="21"/>
        <v/>
      </c>
      <c r="S76" s="80"/>
    </row>
    <row r="77" spans="1:19" s="44" customFormat="1">
      <c r="A77" s="15"/>
      <c r="B77" s="79"/>
      <c r="C77" s="18" t="str">
        <f>IF(B77="","",VLOOKUP(B77,'Tabla de proceso'!$B$6:$G$28,2,))</f>
        <v/>
      </c>
      <c r="D77" s="17" t="str">
        <f>IF(B77="","",VLOOKUP(B77,'Tabla de proceso'!$B$5:$G$28,3,0))</f>
        <v/>
      </c>
      <c r="E77" s="13" t="str">
        <f t="shared" si="11"/>
        <v/>
      </c>
      <c r="F77" s="13" t="str">
        <f t="shared" si="12"/>
        <v/>
      </c>
      <c r="G77" s="13" t="str">
        <f t="shared" si="13"/>
        <v/>
      </c>
      <c r="H77" s="13" t="e">
        <f t="shared" si="14"/>
        <v>#VALUE!</v>
      </c>
      <c r="I77" s="47"/>
      <c r="J77" s="16">
        <f t="shared" si="15"/>
        <v>0</v>
      </c>
      <c r="K77" s="45" t="str">
        <f t="shared" si="16"/>
        <v>sábado</v>
      </c>
      <c r="L77" s="49"/>
      <c r="M77" s="50"/>
      <c r="N77" s="52">
        <f t="shared" si="17"/>
        <v>0</v>
      </c>
      <c r="O77" s="52">
        <f t="shared" si="18"/>
        <v>0</v>
      </c>
      <c r="P77" s="53">
        <f t="shared" si="19"/>
        <v>0</v>
      </c>
      <c r="Q77" s="54" t="str">
        <f t="shared" si="20"/>
        <v/>
      </c>
      <c r="R77" s="58" t="str">
        <f t="shared" si="21"/>
        <v/>
      </c>
      <c r="S77" s="80"/>
    </row>
    <row r="78" spans="1:19" s="44" customFormat="1">
      <c r="A78" s="15"/>
      <c r="B78" s="79"/>
      <c r="C78" s="18" t="str">
        <f>IF(B78="","",VLOOKUP(B78,'Tabla de proceso'!$B$6:$G$28,2,))</f>
        <v/>
      </c>
      <c r="D78" s="17" t="str">
        <f>IF(B78="","",VLOOKUP(B78,'Tabla de proceso'!$B$5:$G$28,3,0))</f>
        <v/>
      </c>
      <c r="E78" s="13" t="str">
        <f t="shared" si="11"/>
        <v/>
      </c>
      <c r="F78" s="13" t="str">
        <f t="shared" si="12"/>
        <v/>
      </c>
      <c r="G78" s="13" t="str">
        <f t="shared" si="13"/>
        <v/>
      </c>
      <c r="H78" s="13" t="e">
        <f t="shared" si="14"/>
        <v>#VALUE!</v>
      </c>
      <c r="I78" s="47"/>
      <c r="J78" s="16">
        <f t="shared" si="15"/>
        <v>0</v>
      </c>
      <c r="K78" s="45" t="str">
        <f t="shared" si="16"/>
        <v>sábado</v>
      </c>
      <c r="L78" s="49"/>
      <c r="M78" s="50"/>
      <c r="N78" s="52">
        <f t="shared" si="17"/>
        <v>0</v>
      </c>
      <c r="O78" s="52">
        <f t="shared" si="18"/>
        <v>0</v>
      </c>
      <c r="P78" s="53">
        <f t="shared" si="19"/>
        <v>0</v>
      </c>
      <c r="Q78" s="54" t="str">
        <f t="shared" si="20"/>
        <v/>
      </c>
      <c r="R78" s="58" t="str">
        <f t="shared" si="21"/>
        <v/>
      </c>
      <c r="S78" s="80"/>
    </row>
    <row r="79" spans="1:19" s="44" customFormat="1">
      <c r="A79" s="15"/>
      <c r="B79" s="79"/>
      <c r="C79" s="18" t="str">
        <f>IF(B79="","",VLOOKUP(B79,'Tabla de proceso'!$B$6:$G$28,2,))</f>
        <v/>
      </c>
      <c r="D79" s="17" t="str">
        <f>IF(B79="","",VLOOKUP(B79,'Tabla de proceso'!$B$5:$G$28,3,0))</f>
        <v/>
      </c>
      <c r="E79" s="13" t="str">
        <f t="shared" si="11"/>
        <v/>
      </c>
      <c r="F79" s="13" t="str">
        <f t="shared" si="12"/>
        <v/>
      </c>
      <c r="G79" s="13" t="str">
        <f t="shared" si="13"/>
        <v/>
      </c>
      <c r="H79" s="13" t="e">
        <f t="shared" si="14"/>
        <v>#VALUE!</v>
      </c>
      <c r="I79" s="47"/>
      <c r="J79" s="16">
        <f t="shared" si="15"/>
        <v>0</v>
      </c>
      <c r="K79" s="45" t="str">
        <f t="shared" si="16"/>
        <v>sábado</v>
      </c>
      <c r="L79" s="49"/>
      <c r="M79" s="50"/>
      <c r="N79" s="52">
        <f t="shared" si="17"/>
        <v>0</v>
      </c>
      <c r="O79" s="52">
        <f t="shared" si="18"/>
        <v>0</v>
      </c>
      <c r="P79" s="53">
        <f t="shared" si="19"/>
        <v>0</v>
      </c>
      <c r="Q79" s="54" t="str">
        <f t="shared" si="20"/>
        <v/>
      </c>
      <c r="R79" s="58" t="str">
        <f t="shared" si="21"/>
        <v/>
      </c>
      <c r="S79" s="80"/>
    </row>
    <row r="80" spans="1:19" s="44" customFormat="1">
      <c r="A80" s="15"/>
      <c r="B80" s="79"/>
      <c r="C80" s="18" t="str">
        <f>IF(B80="","",VLOOKUP(B80,'Tabla de proceso'!$B$6:$G$28,2,))</f>
        <v/>
      </c>
      <c r="D80" s="17" t="str">
        <f>IF(B80="","",VLOOKUP(B80,'Tabla de proceso'!$B$5:$G$28,3,0))</f>
        <v/>
      </c>
      <c r="E80" s="13" t="str">
        <f t="shared" si="11"/>
        <v/>
      </c>
      <c r="F80" s="13" t="str">
        <f t="shared" si="12"/>
        <v/>
      </c>
      <c r="G80" s="13" t="str">
        <f t="shared" si="13"/>
        <v/>
      </c>
      <c r="H80" s="13" t="e">
        <f t="shared" si="14"/>
        <v>#VALUE!</v>
      </c>
      <c r="I80" s="47"/>
      <c r="J80" s="16">
        <f t="shared" si="15"/>
        <v>0</v>
      </c>
      <c r="K80" s="45" t="str">
        <f t="shared" si="16"/>
        <v>sábado</v>
      </c>
      <c r="L80" s="49"/>
      <c r="M80" s="50"/>
      <c r="N80" s="52">
        <f t="shared" si="17"/>
        <v>0</v>
      </c>
      <c r="O80" s="52">
        <f t="shared" si="18"/>
        <v>0</v>
      </c>
      <c r="P80" s="53">
        <f t="shared" si="19"/>
        <v>0</v>
      </c>
      <c r="Q80" s="54" t="str">
        <f t="shared" si="20"/>
        <v/>
      </c>
      <c r="R80" s="58" t="str">
        <f t="shared" si="21"/>
        <v/>
      </c>
      <c r="S80" s="80"/>
    </row>
    <row r="81" spans="1:19" s="44" customFormat="1">
      <c r="A81" s="15"/>
      <c r="B81" s="79"/>
      <c r="C81" s="18" t="str">
        <f>IF(B81="","",VLOOKUP(B81,'Tabla de proceso'!$B$6:$G$28,2,))</f>
        <v/>
      </c>
      <c r="D81" s="17" t="str">
        <f>IF(B81="","",VLOOKUP(B81,'Tabla de proceso'!$B$5:$G$28,3,0))</f>
        <v/>
      </c>
      <c r="E81" s="13" t="str">
        <f t="shared" si="11"/>
        <v/>
      </c>
      <c r="F81" s="13" t="str">
        <f t="shared" si="12"/>
        <v/>
      </c>
      <c r="G81" s="13" t="str">
        <f t="shared" si="13"/>
        <v/>
      </c>
      <c r="H81" s="13" t="e">
        <f t="shared" si="14"/>
        <v>#VALUE!</v>
      </c>
      <c r="I81" s="47"/>
      <c r="J81" s="16">
        <f t="shared" si="15"/>
        <v>0</v>
      </c>
      <c r="K81" s="45" t="str">
        <f t="shared" si="16"/>
        <v>sábado</v>
      </c>
      <c r="L81" s="49"/>
      <c r="M81" s="50"/>
      <c r="N81" s="52">
        <f t="shared" si="17"/>
        <v>0</v>
      </c>
      <c r="O81" s="52">
        <f t="shared" si="18"/>
        <v>0</v>
      </c>
      <c r="P81" s="53">
        <f t="shared" si="19"/>
        <v>0</v>
      </c>
      <c r="Q81" s="54" t="str">
        <f t="shared" si="20"/>
        <v/>
      </c>
      <c r="R81" s="58" t="str">
        <f t="shared" si="21"/>
        <v/>
      </c>
      <c r="S81" s="80"/>
    </row>
    <row r="82" spans="1:19" s="44" customFormat="1">
      <c r="A82" s="15"/>
      <c r="B82" s="79"/>
      <c r="C82" s="18" t="str">
        <f>IF(B82="","",VLOOKUP(B82,'Tabla de proceso'!$B$6:$G$28,2,))</f>
        <v/>
      </c>
      <c r="D82" s="17" t="str">
        <f>IF(B82="","",VLOOKUP(B82,'Tabla de proceso'!$B$5:$G$28,3,0))</f>
        <v/>
      </c>
      <c r="E82" s="13" t="str">
        <f t="shared" si="11"/>
        <v/>
      </c>
      <c r="F82" s="13" t="str">
        <f t="shared" si="12"/>
        <v/>
      </c>
      <c r="G82" s="13" t="str">
        <f t="shared" si="13"/>
        <v/>
      </c>
      <c r="H82" s="13" t="e">
        <f t="shared" si="14"/>
        <v>#VALUE!</v>
      </c>
      <c r="I82" s="47"/>
      <c r="J82" s="16">
        <f t="shared" si="15"/>
        <v>0</v>
      </c>
      <c r="K82" s="45" t="str">
        <f t="shared" si="16"/>
        <v>sábado</v>
      </c>
      <c r="L82" s="49"/>
      <c r="M82" s="50"/>
      <c r="N82" s="52">
        <f t="shared" si="17"/>
        <v>0</v>
      </c>
      <c r="O82" s="52">
        <f t="shared" si="18"/>
        <v>0</v>
      </c>
      <c r="P82" s="53">
        <f t="shared" si="19"/>
        <v>0</v>
      </c>
      <c r="Q82" s="54" t="str">
        <f t="shared" si="20"/>
        <v/>
      </c>
      <c r="R82" s="58" t="str">
        <f t="shared" si="21"/>
        <v/>
      </c>
      <c r="S82" s="80"/>
    </row>
    <row r="83" spans="1:19" s="44" customFormat="1">
      <c r="A83" s="15"/>
      <c r="B83" s="79"/>
      <c r="C83" s="18" t="str">
        <f>IF(B83="","",VLOOKUP(B83,'Tabla de proceso'!$B$6:$G$28,2,))</f>
        <v/>
      </c>
      <c r="D83" s="17" t="str">
        <f>IF(B83="","",VLOOKUP(B83,'Tabla de proceso'!$B$5:$G$28,3,0))</f>
        <v/>
      </c>
      <c r="E83" s="13" t="str">
        <f t="shared" si="11"/>
        <v/>
      </c>
      <c r="F83" s="13" t="str">
        <f t="shared" si="12"/>
        <v/>
      </c>
      <c r="G83" s="13" t="str">
        <f t="shared" si="13"/>
        <v/>
      </c>
      <c r="H83" s="13" t="e">
        <f t="shared" si="14"/>
        <v>#VALUE!</v>
      </c>
      <c r="I83" s="47"/>
      <c r="J83" s="16">
        <f t="shared" si="15"/>
        <v>0</v>
      </c>
      <c r="K83" s="45" t="str">
        <f t="shared" si="16"/>
        <v>sábado</v>
      </c>
      <c r="L83" s="49"/>
      <c r="M83" s="50"/>
      <c r="N83" s="52">
        <f t="shared" si="17"/>
        <v>0</v>
      </c>
      <c r="O83" s="52">
        <f t="shared" si="18"/>
        <v>0</v>
      </c>
      <c r="P83" s="53">
        <f t="shared" si="19"/>
        <v>0</v>
      </c>
      <c r="Q83" s="54" t="str">
        <f t="shared" si="20"/>
        <v/>
      </c>
      <c r="R83" s="58" t="str">
        <f t="shared" si="21"/>
        <v/>
      </c>
      <c r="S83" s="80"/>
    </row>
    <row r="84" spans="1:19" s="44" customFormat="1">
      <c r="A84" s="15"/>
      <c r="B84" s="79"/>
      <c r="C84" s="18" t="str">
        <f>IF(B84="","",VLOOKUP(B84,'Tabla de proceso'!$B$6:$G$28,2,))</f>
        <v/>
      </c>
      <c r="D84" s="17" t="str">
        <f>IF(B84="","",VLOOKUP(B84,'Tabla de proceso'!$B$5:$G$28,3,0))</f>
        <v/>
      </c>
      <c r="E84" s="13" t="str">
        <f t="shared" si="11"/>
        <v/>
      </c>
      <c r="F84" s="13" t="str">
        <f t="shared" si="12"/>
        <v/>
      </c>
      <c r="G84" s="13" t="str">
        <f t="shared" si="13"/>
        <v/>
      </c>
      <c r="H84" s="13" t="e">
        <f t="shared" si="14"/>
        <v>#VALUE!</v>
      </c>
      <c r="I84" s="47"/>
      <c r="J84" s="16">
        <f t="shared" si="15"/>
        <v>0</v>
      </c>
      <c r="K84" s="45" t="str">
        <f t="shared" si="16"/>
        <v>sábado</v>
      </c>
      <c r="L84" s="49"/>
      <c r="M84" s="50"/>
      <c r="N84" s="52">
        <f t="shared" si="17"/>
        <v>0</v>
      </c>
      <c r="O84" s="52">
        <f t="shared" si="18"/>
        <v>0</v>
      </c>
      <c r="P84" s="53">
        <f t="shared" si="19"/>
        <v>0</v>
      </c>
      <c r="Q84" s="54" t="str">
        <f t="shared" si="20"/>
        <v/>
      </c>
      <c r="R84" s="58" t="str">
        <f t="shared" si="21"/>
        <v/>
      </c>
      <c r="S84" s="80"/>
    </row>
    <row r="85" spans="1:19" s="44" customFormat="1">
      <c r="A85" s="15"/>
      <c r="B85" s="79"/>
      <c r="C85" s="18" t="str">
        <f>IF(B85="","",VLOOKUP(B85,'Tabla de proceso'!$B$6:$G$28,2,))</f>
        <v/>
      </c>
      <c r="D85" s="17" t="str">
        <f>IF(B85="","",VLOOKUP(B85,'Tabla de proceso'!$B$5:$G$28,3,0))</f>
        <v/>
      </c>
      <c r="E85" s="13" t="str">
        <f t="shared" si="11"/>
        <v/>
      </c>
      <c r="F85" s="13" t="str">
        <f t="shared" si="12"/>
        <v/>
      </c>
      <c r="G85" s="13" t="str">
        <f t="shared" si="13"/>
        <v/>
      </c>
      <c r="H85" s="13" t="e">
        <f t="shared" si="14"/>
        <v>#VALUE!</v>
      </c>
      <c r="I85" s="47"/>
      <c r="J85" s="16">
        <f t="shared" si="15"/>
        <v>0</v>
      </c>
      <c r="K85" s="45" t="str">
        <f t="shared" si="16"/>
        <v>sábado</v>
      </c>
      <c r="L85" s="49"/>
      <c r="M85" s="50"/>
      <c r="N85" s="52">
        <f t="shared" si="17"/>
        <v>0</v>
      </c>
      <c r="O85" s="52">
        <f t="shared" si="18"/>
        <v>0</v>
      </c>
      <c r="P85" s="53">
        <f t="shared" si="19"/>
        <v>0</v>
      </c>
      <c r="Q85" s="54" t="str">
        <f t="shared" si="20"/>
        <v/>
      </c>
      <c r="R85" s="58" t="str">
        <f t="shared" si="21"/>
        <v/>
      </c>
      <c r="S85" s="80"/>
    </row>
    <row r="86" spans="1:19" s="44" customFormat="1">
      <c r="A86" s="15"/>
      <c r="B86" s="79"/>
      <c r="C86" s="18" t="str">
        <f>IF(B86="","",VLOOKUP(B86,'Tabla de proceso'!$B$6:$G$28,2,))</f>
        <v/>
      </c>
      <c r="D86" s="17" t="str">
        <f>IF(B86="","",VLOOKUP(B86,'Tabla de proceso'!$B$5:$G$28,3,0))</f>
        <v/>
      </c>
      <c r="E86" s="13" t="str">
        <f t="shared" si="11"/>
        <v/>
      </c>
      <c r="F86" s="13" t="str">
        <f t="shared" si="12"/>
        <v/>
      </c>
      <c r="G86" s="13" t="str">
        <f t="shared" si="13"/>
        <v/>
      </c>
      <c r="H86" s="13" t="e">
        <f t="shared" si="14"/>
        <v>#VALUE!</v>
      </c>
      <c r="I86" s="47"/>
      <c r="J86" s="16">
        <f t="shared" si="15"/>
        <v>0</v>
      </c>
      <c r="K86" s="45" t="str">
        <f t="shared" si="16"/>
        <v>sábado</v>
      </c>
      <c r="L86" s="49"/>
      <c r="M86" s="50"/>
      <c r="N86" s="52">
        <f t="shared" si="17"/>
        <v>0</v>
      </c>
      <c r="O86" s="52">
        <f t="shared" si="18"/>
        <v>0</v>
      </c>
      <c r="P86" s="53">
        <f t="shared" si="19"/>
        <v>0</v>
      </c>
      <c r="Q86" s="54" t="str">
        <f t="shared" si="20"/>
        <v/>
      </c>
      <c r="R86" s="58" t="str">
        <f t="shared" si="21"/>
        <v/>
      </c>
      <c r="S86" s="80"/>
    </row>
    <row r="87" spans="1:19" s="44" customFormat="1">
      <c r="A87" s="15"/>
      <c r="B87" s="79"/>
      <c r="C87" s="18" t="str">
        <f>IF(B87="","",VLOOKUP(B87,'Tabla de proceso'!$B$6:$G$28,2,))</f>
        <v/>
      </c>
      <c r="D87" s="17" t="str">
        <f>IF(B87="","",VLOOKUP(B87,'Tabla de proceso'!$B$5:$G$28,3,0))</f>
        <v/>
      </c>
      <c r="E87" s="13" t="str">
        <f t="shared" si="11"/>
        <v/>
      </c>
      <c r="F87" s="13" t="str">
        <f t="shared" si="12"/>
        <v/>
      </c>
      <c r="G87" s="13" t="str">
        <f t="shared" si="13"/>
        <v/>
      </c>
      <c r="H87" s="13" t="e">
        <f t="shared" si="14"/>
        <v>#VALUE!</v>
      </c>
      <c r="I87" s="47"/>
      <c r="J87" s="16">
        <f t="shared" si="15"/>
        <v>0</v>
      </c>
      <c r="K87" s="45" t="str">
        <f t="shared" si="16"/>
        <v>sábado</v>
      </c>
      <c r="L87" s="49"/>
      <c r="M87" s="50"/>
      <c r="N87" s="52">
        <f t="shared" si="17"/>
        <v>0</v>
      </c>
      <c r="O87" s="52">
        <f t="shared" si="18"/>
        <v>0</v>
      </c>
      <c r="P87" s="53">
        <f t="shared" si="19"/>
        <v>0</v>
      </c>
      <c r="Q87" s="54" t="str">
        <f t="shared" si="20"/>
        <v/>
      </c>
      <c r="R87" s="58" t="str">
        <f t="shared" si="21"/>
        <v/>
      </c>
      <c r="S87" s="80"/>
    </row>
    <row r="88" spans="1:19" s="44" customFormat="1">
      <c r="A88" s="15"/>
      <c r="B88" s="79"/>
      <c r="C88" s="18" t="str">
        <f>IF(B88="","",VLOOKUP(B88,'Tabla de proceso'!$B$6:$G$28,2,))</f>
        <v/>
      </c>
      <c r="D88" s="17" t="str">
        <f>IF(B88="","",VLOOKUP(B88,'Tabla de proceso'!$B$5:$G$28,3,0))</f>
        <v/>
      </c>
      <c r="E88" s="13" t="str">
        <f t="shared" si="11"/>
        <v/>
      </c>
      <c r="F88" s="13" t="str">
        <f t="shared" si="12"/>
        <v/>
      </c>
      <c r="G88" s="13" t="str">
        <f t="shared" si="13"/>
        <v/>
      </c>
      <c r="H88" s="13" t="e">
        <f t="shared" si="14"/>
        <v>#VALUE!</v>
      </c>
      <c r="I88" s="47"/>
      <c r="J88" s="16">
        <f t="shared" si="15"/>
        <v>0</v>
      </c>
      <c r="K88" s="45" t="str">
        <f t="shared" si="16"/>
        <v>sábado</v>
      </c>
      <c r="L88" s="49"/>
      <c r="M88" s="50"/>
      <c r="N88" s="52">
        <f t="shared" si="17"/>
        <v>0</v>
      </c>
      <c r="O88" s="52">
        <f t="shared" si="18"/>
        <v>0</v>
      </c>
      <c r="P88" s="53">
        <f t="shared" si="19"/>
        <v>0</v>
      </c>
      <c r="Q88" s="54" t="str">
        <f t="shared" si="20"/>
        <v/>
      </c>
      <c r="R88" s="58" t="str">
        <f t="shared" si="21"/>
        <v/>
      </c>
      <c r="S88" s="80"/>
    </row>
    <row r="89" spans="1:19" s="44" customFormat="1">
      <c r="A89" s="15"/>
      <c r="B89" s="79"/>
      <c r="C89" s="18" t="str">
        <f>IF(B89="","",VLOOKUP(B89,'Tabla de proceso'!$B$6:$G$28,2,))</f>
        <v/>
      </c>
      <c r="D89" s="17" t="str">
        <f>IF(B89="","",VLOOKUP(B89,'Tabla de proceso'!$B$5:$G$28,3,0))</f>
        <v/>
      </c>
      <c r="E89" s="13" t="str">
        <f t="shared" si="11"/>
        <v/>
      </c>
      <c r="F89" s="13" t="str">
        <f t="shared" si="12"/>
        <v/>
      </c>
      <c r="G89" s="13" t="str">
        <f t="shared" si="13"/>
        <v/>
      </c>
      <c r="H89" s="13" t="e">
        <f t="shared" si="14"/>
        <v>#VALUE!</v>
      </c>
      <c r="I89" s="47"/>
      <c r="J89" s="16">
        <f t="shared" si="15"/>
        <v>0</v>
      </c>
      <c r="K89" s="45" t="str">
        <f t="shared" si="16"/>
        <v>sábado</v>
      </c>
      <c r="L89" s="49"/>
      <c r="M89" s="50"/>
      <c r="N89" s="52">
        <f t="shared" si="17"/>
        <v>0</v>
      </c>
      <c r="O89" s="52">
        <f t="shared" si="18"/>
        <v>0</v>
      </c>
      <c r="P89" s="53">
        <f t="shared" si="19"/>
        <v>0</v>
      </c>
      <c r="Q89" s="54" t="str">
        <f t="shared" si="20"/>
        <v/>
      </c>
      <c r="R89" s="58" t="str">
        <f t="shared" si="21"/>
        <v/>
      </c>
      <c r="S89" s="80"/>
    </row>
    <row r="90" spans="1:19" s="44" customFormat="1">
      <c r="A90" s="15"/>
      <c r="B90" s="79"/>
      <c r="C90" s="18" t="str">
        <f>IF(B90="","",VLOOKUP(B90,'Tabla de proceso'!$B$6:$G$28,2,))</f>
        <v/>
      </c>
      <c r="D90" s="17" t="str">
        <f>IF(B90="","",VLOOKUP(B90,'Tabla de proceso'!$B$5:$G$28,3,0))</f>
        <v/>
      </c>
      <c r="E90" s="13" t="str">
        <f t="shared" si="11"/>
        <v/>
      </c>
      <c r="F90" s="13" t="str">
        <f t="shared" si="12"/>
        <v/>
      </c>
      <c r="G90" s="13" t="str">
        <f t="shared" si="13"/>
        <v/>
      </c>
      <c r="H90" s="13" t="e">
        <f t="shared" si="14"/>
        <v>#VALUE!</v>
      </c>
      <c r="I90" s="47"/>
      <c r="J90" s="16">
        <f t="shared" si="15"/>
        <v>0</v>
      </c>
      <c r="K90" s="45" t="str">
        <f t="shared" si="16"/>
        <v>sábado</v>
      </c>
      <c r="L90" s="49"/>
      <c r="M90" s="50"/>
      <c r="N90" s="52">
        <f t="shared" si="17"/>
        <v>0</v>
      </c>
      <c r="O90" s="52">
        <f t="shared" si="18"/>
        <v>0</v>
      </c>
      <c r="P90" s="53">
        <f t="shared" si="19"/>
        <v>0</v>
      </c>
      <c r="Q90" s="54" t="str">
        <f t="shared" si="20"/>
        <v/>
      </c>
      <c r="R90" s="58" t="str">
        <f t="shared" si="21"/>
        <v/>
      </c>
      <c r="S90" s="80"/>
    </row>
    <row r="91" spans="1:19" s="44" customFormat="1">
      <c r="A91" s="15"/>
      <c r="B91" s="79"/>
      <c r="C91" s="18" t="str">
        <f>IF(B91="","",VLOOKUP(B91,'Tabla de proceso'!$B$6:$G$28,2,))</f>
        <v/>
      </c>
      <c r="D91" s="17" t="str">
        <f>IF(B91="","",VLOOKUP(B91,'Tabla de proceso'!$B$5:$G$28,3,0))</f>
        <v/>
      </c>
      <c r="E91" s="13" t="str">
        <f t="shared" si="11"/>
        <v/>
      </c>
      <c r="F91" s="13" t="str">
        <f t="shared" si="12"/>
        <v/>
      </c>
      <c r="G91" s="13" t="str">
        <f t="shared" si="13"/>
        <v/>
      </c>
      <c r="H91" s="13" t="e">
        <f t="shared" si="14"/>
        <v>#VALUE!</v>
      </c>
      <c r="I91" s="47"/>
      <c r="J91" s="16">
        <f t="shared" si="15"/>
        <v>0</v>
      </c>
      <c r="K91" s="45" t="str">
        <f t="shared" si="16"/>
        <v>sábado</v>
      </c>
      <c r="L91" s="49"/>
      <c r="M91" s="50"/>
      <c r="N91" s="52">
        <f t="shared" si="17"/>
        <v>0</v>
      </c>
      <c r="O91" s="52">
        <f t="shared" si="18"/>
        <v>0</v>
      </c>
      <c r="P91" s="53">
        <f t="shared" si="19"/>
        <v>0</v>
      </c>
      <c r="Q91" s="54" t="str">
        <f t="shared" si="20"/>
        <v/>
      </c>
      <c r="R91" s="58" t="str">
        <f t="shared" si="21"/>
        <v/>
      </c>
      <c r="S91" s="80"/>
    </row>
    <row r="92" spans="1:19" s="44" customFormat="1">
      <c r="A92" s="15"/>
      <c r="B92" s="79"/>
      <c r="C92" s="18" t="str">
        <f>IF(B92="","",VLOOKUP(B92,'Tabla de proceso'!$B$6:$G$28,2,))</f>
        <v/>
      </c>
      <c r="D92" s="17" t="str">
        <f>IF(B92="","",VLOOKUP(B92,'Tabla de proceso'!$B$5:$G$28,3,0))</f>
        <v/>
      </c>
      <c r="E92" s="13" t="str">
        <f t="shared" si="11"/>
        <v/>
      </c>
      <c r="F92" s="13" t="str">
        <f t="shared" si="12"/>
        <v/>
      </c>
      <c r="G92" s="13" t="str">
        <f t="shared" si="13"/>
        <v/>
      </c>
      <c r="H92" s="13" t="e">
        <f t="shared" si="14"/>
        <v>#VALUE!</v>
      </c>
      <c r="I92" s="47"/>
      <c r="J92" s="16">
        <f t="shared" si="15"/>
        <v>0</v>
      </c>
      <c r="K92" s="45" t="str">
        <f t="shared" si="16"/>
        <v>sábado</v>
      </c>
      <c r="L92" s="49"/>
      <c r="M92" s="50"/>
      <c r="N92" s="52">
        <f t="shared" si="17"/>
        <v>0</v>
      </c>
      <c r="O92" s="52">
        <f t="shared" si="18"/>
        <v>0</v>
      </c>
      <c r="P92" s="53">
        <f t="shared" si="19"/>
        <v>0</v>
      </c>
      <c r="Q92" s="54" t="str">
        <f t="shared" si="20"/>
        <v/>
      </c>
      <c r="R92" s="58" t="str">
        <f t="shared" si="21"/>
        <v/>
      </c>
      <c r="S92" s="80"/>
    </row>
    <row r="93" spans="1:19" s="44" customFormat="1">
      <c r="A93" s="15"/>
      <c r="B93" s="79"/>
      <c r="C93" s="18" t="str">
        <f>IF(B93="","",VLOOKUP(B93,'Tabla de proceso'!$B$6:$G$28,2,))</f>
        <v/>
      </c>
      <c r="D93" s="17" t="str">
        <f>IF(B93="","",VLOOKUP(B93,'Tabla de proceso'!$B$5:$G$28,3,0))</f>
        <v/>
      </c>
      <c r="E93" s="13" t="str">
        <f t="shared" si="11"/>
        <v/>
      </c>
      <c r="F93" s="13" t="str">
        <f t="shared" si="12"/>
        <v/>
      </c>
      <c r="G93" s="13" t="str">
        <f t="shared" si="13"/>
        <v/>
      </c>
      <c r="H93" s="13" t="e">
        <f t="shared" si="14"/>
        <v>#VALUE!</v>
      </c>
      <c r="I93" s="47"/>
      <c r="J93" s="16">
        <f t="shared" si="15"/>
        <v>0</v>
      </c>
      <c r="K93" s="45" t="str">
        <f t="shared" si="16"/>
        <v>sábado</v>
      </c>
      <c r="L93" s="49"/>
      <c r="M93" s="50"/>
      <c r="N93" s="52">
        <f t="shared" si="17"/>
        <v>0</v>
      </c>
      <c r="O93" s="52">
        <f t="shared" si="18"/>
        <v>0</v>
      </c>
      <c r="P93" s="53">
        <f t="shared" si="19"/>
        <v>0</v>
      </c>
      <c r="Q93" s="54" t="str">
        <f t="shared" si="20"/>
        <v/>
      </c>
      <c r="R93" s="58" t="str">
        <f t="shared" si="21"/>
        <v/>
      </c>
      <c r="S93" s="80"/>
    </row>
    <row r="94" spans="1:19" s="44" customFormat="1">
      <c r="A94" s="15"/>
      <c r="B94" s="79"/>
      <c r="C94" s="18" t="str">
        <f>IF(B94="","",VLOOKUP(B94,'Tabla de proceso'!$B$6:$G$28,2,))</f>
        <v/>
      </c>
      <c r="D94" s="17" t="str">
        <f>IF(B94="","",VLOOKUP(B94,'Tabla de proceso'!$B$5:$G$28,3,0))</f>
        <v/>
      </c>
      <c r="E94" s="13" t="str">
        <f t="shared" si="11"/>
        <v/>
      </c>
      <c r="F94" s="13" t="str">
        <f t="shared" si="12"/>
        <v/>
      </c>
      <c r="G94" s="13" t="str">
        <f t="shared" si="13"/>
        <v/>
      </c>
      <c r="H94" s="13" t="e">
        <f t="shared" si="14"/>
        <v>#VALUE!</v>
      </c>
      <c r="I94" s="47"/>
      <c r="J94" s="16">
        <f t="shared" si="15"/>
        <v>0</v>
      </c>
      <c r="K94" s="45" t="str">
        <f t="shared" si="16"/>
        <v>sábado</v>
      </c>
      <c r="L94" s="49"/>
      <c r="M94" s="50"/>
      <c r="N94" s="52">
        <f t="shared" si="17"/>
        <v>0</v>
      </c>
      <c r="O94" s="52">
        <f t="shared" si="18"/>
        <v>0</v>
      </c>
      <c r="P94" s="53">
        <f t="shared" si="19"/>
        <v>0</v>
      </c>
      <c r="Q94" s="54" t="str">
        <f t="shared" si="20"/>
        <v/>
      </c>
      <c r="R94" s="58" t="str">
        <f t="shared" si="21"/>
        <v/>
      </c>
      <c r="S94" s="80"/>
    </row>
    <row r="95" spans="1:19" s="44" customFormat="1">
      <c r="A95" s="15"/>
      <c r="B95" s="79"/>
      <c r="C95" s="18" t="str">
        <f>IF(B95="","",VLOOKUP(B95,'Tabla de proceso'!$B$6:$G$28,2,))</f>
        <v/>
      </c>
      <c r="D95" s="17" t="str">
        <f>IF(B95="","",VLOOKUP(B95,'Tabla de proceso'!$B$5:$G$28,3,0))</f>
        <v/>
      </c>
      <c r="E95" s="13" t="str">
        <f t="shared" si="11"/>
        <v/>
      </c>
      <c r="F95" s="13" t="str">
        <f t="shared" si="12"/>
        <v/>
      </c>
      <c r="G95" s="13" t="str">
        <f t="shared" si="13"/>
        <v/>
      </c>
      <c r="H95" s="13" t="e">
        <f t="shared" si="14"/>
        <v>#VALUE!</v>
      </c>
      <c r="I95" s="47"/>
      <c r="J95" s="16">
        <f t="shared" si="15"/>
        <v>0</v>
      </c>
      <c r="K95" s="45" t="str">
        <f t="shared" si="16"/>
        <v>sábado</v>
      </c>
      <c r="L95" s="49"/>
      <c r="M95" s="50"/>
      <c r="N95" s="52">
        <f t="shared" si="17"/>
        <v>0</v>
      </c>
      <c r="O95" s="52">
        <f t="shared" si="18"/>
        <v>0</v>
      </c>
      <c r="P95" s="53">
        <f t="shared" si="19"/>
        <v>0</v>
      </c>
      <c r="Q95" s="54" t="str">
        <f t="shared" si="20"/>
        <v/>
      </c>
      <c r="R95" s="58" t="str">
        <f t="shared" si="21"/>
        <v/>
      </c>
      <c r="S95" s="80"/>
    </row>
    <row r="96" spans="1:19" s="44" customFormat="1">
      <c r="A96" s="15"/>
      <c r="B96" s="79"/>
      <c r="C96" s="18" t="str">
        <f>IF(B96="","",VLOOKUP(B96,'Tabla de proceso'!$B$6:$G$28,2,))</f>
        <v/>
      </c>
      <c r="D96" s="17" t="str">
        <f>IF(B96="","",VLOOKUP(B96,'Tabla de proceso'!$B$5:$G$28,3,0))</f>
        <v/>
      </c>
      <c r="E96" s="13" t="str">
        <f t="shared" si="11"/>
        <v/>
      </c>
      <c r="F96" s="13" t="str">
        <f t="shared" si="12"/>
        <v/>
      </c>
      <c r="G96" s="13" t="str">
        <f t="shared" si="13"/>
        <v/>
      </c>
      <c r="H96" s="13" t="e">
        <f t="shared" si="14"/>
        <v>#VALUE!</v>
      </c>
      <c r="I96" s="47"/>
      <c r="J96" s="16">
        <f t="shared" si="15"/>
        <v>0</v>
      </c>
      <c r="K96" s="45" t="str">
        <f t="shared" si="16"/>
        <v>sábado</v>
      </c>
      <c r="L96" s="49"/>
      <c r="M96" s="50"/>
      <c r="N96" s="52">
        <f t="shared" si="17"/>
        <v>0</v>
      </c>
      <c r="O96" s="52">
        <f t="shared" si="18"/>
        <v>0</v>
      </c>
      <c r="P96" s="53">
        <f t="shared" si="19"/>
        <v>0</v>
      </c>
      <c r="Q96" s="54" t="str">
        <f t="shared" si="20"/>
        <v/>
      </c>
      <c r="R96" s="58" t="str">
        <f t="shared" si="21"/>
        <v/>
      </c>
      <c r="S96" s="80"/>
    </row>
    <row r="97" spans="1:19" s="44" customFormat="1">
      <c r="A97" s="15"/>
      <c r="B97" s="79"/>
      <c r="C97" s="18" t="str">
        <f>IF(B97="","",VLOOKUP(B97,'Tabla de proceso'!$B$6:$G$28,2,))</f>
        <v/>
      </c>
      <c r="D97" s="17" t="str">
        <f>IF(B97="","",VLOOKUP(B97,'Tabla de proceso'!$B$5:$G$28,3,0))</f>
        <v/>
      </c>
      <c r="E97" s="13" t="str">
        <f t="shared" si="11"/>
        <v/>
      </c>
      <c r="F97" s="13" t="str">
        <f t="shared" si="12"/>
        <v/>
      </c>
      <c r="G97" s="13" t="str">
        <f t="shared" si="13"/>
        <v/>
      </c>
      <c r="H97" s="13" t="e">
        <f t="shared" si="14"/>
        <v>#VALUE!</v>
      </c>
      <c r="I97" s="47"/>
      <c r="J97" s="16">
        <f t="shared" si="15"/>
        <v>0</v>
      </c>
      <c r="K97" s="45" t="str">
        <f t="shared" si="16"/>
        <v>sábado</v>
      </c>
      <c r="L97" s="49"/>
      <c r="M97" s="50"/>
      <c r="N97" s="52">
        <f t="shared" si="17"/>
        <v>0</v>
      </c>
      <c r="O97" s="52">
        <f t="shared" si="18"/>
        <v>0</v>
      </c>
      <c r="P97" s="53">
        <f t="shared" si="19"/>
        <v>0</v>
      </c>
      <c r="Q97" s="54" t="str">
        <f t="shared" si="20"/>
        <v/>
      </c>
      <c r="R97" s="58" t="str">
        <f t="shared" si="21"/>
        <v/>
      </c>
      <c r="S97" s="80"/>
    </row>
    <row r="98" spans="1:19" s="44" customFormat="1">
      <c r="A98" s="15"/>
      <c r="B98" s="79"/>
      <c r="C98" s="18" t="str">
        <f>IF(B98="","",VLOOKUP(B98,'Tabla de proceso'!$B$6:$G$28,2,))</f>
        <v/>
      </c>
      <c r="D98" s="17" t="str">
        <f>IF(B98="","",VLOOKUP(B98,'Tabla de proceso'!$B$5:$G$28,3,0))</f>
        <v/>
      </c>
      <c r="E98" s="13" t="str">
        <f t="shared" si="11"/>
        <v/>
      </c>
      <c r="F98" s="13" t="str">
        <f t="shared" si="12"/>
        <v/>
      </c>
      <c r="G98" s="13" t="str">
        <f t="shared" si="13"/>
        <v/>
      </c>
      <c r="H98" s="13" t="e">
        <f t="shared" si="14"/>
        <v>#VALUE!</v>
      </c>
      <c r="I98" s="47"/>
      <c r="J98" s="16">
        <f t="shared" si="15"/>
        <v>0</v>
      </c>
      <c r="K98" s="45" t="str">
        <f t="shared" si="16"/>
        <v>sábado</v>
      </c>
      <c r="L98" s="49"/>
      <c r="M98" s="50"/>
      <c r="N98" s="52">
        <f t="shared" si="17"/>
        <v>0</v>
      </c>
      <c r="O98" s="52">
        <f t="shared" si="18"/>
        <v>0</v>
      </c>
      <c r="P98" s="53">
        <f t="shared" si="19"/>
        <v>0</v>
      </c>
      <c r="Q98" s="54" t="str">
        <f t="shared" si="20"/>
        <v/>
      </c>
      <c r="R98" s="58" t="str">
        <f t="shared" si="21"/>
        <v/>
      </c>
      <c r="S98" s="80"/>
    </row>
    <row r="99" spans="1:19" s="44" customFormat="1">
      <c r="A99" s="15"/>
      <c r="B99" s="79"/>
      <c r="C99" s="18" t="str">
        <f>IF(B99="","",VLOOKUP(B99,'Tabla de proceso'!$B$6:$G$28,2,))</f>
        <v/>
      </c>
      <c r="D99" s="17" t="str">
        <f>IF(B99="","",VLOOKUP(B99,'Tabla de proceso'!$B$5:$G$28,3,0))</f>
        <v/>
      </c>
      <c r="E99" s="13" t="str">
        <f t="shared" si="11"/>
        <v/>
      </c>
      <c r="F99" s="13" t="str">
        <f t="shared" si="12"/>
        <v/>
      </c>
      <c r="G99" s="13" t="str">
        <f t="shared" si="13"/>
        <v/>
      </c>
      <c r="H99" s="13" t="e">
        <f t="shared" si="14"/>
        <v>#VALUE!</v>
      </c>
      <c r="I99" s="47"/>
      <c r="J99" s="16">
        <f t="shared" si="15"/>
        <v>0</v>
      </c>
      <c r="K99" s="45" t="str">
        <f t="shared" si="16"/>
        <v>sábado</v>
      </c>
      <c r="L99" s="49"/>
      <c r="M99" s="50"/>
      <c r="N99" s="52">
        <f t="shared" si="17"/>
        <v>0</v>
      </c>
      <c r="O99" s="52">
        <f t="shared" si="18"/>
        <v>0</v>
      </c>
      <c r="P99" s="53">
        <f t="shared" si="19"/>
        <v>0</v>
      </c>
      <c r="Q99" s="54" t="str">
        <f t="shared" si="20"/>
        <v/>
      </c>
      <c r="R99" s="58" t="str">
        <f t="shared" si="21"/>
        <v/>
      </c>
      <c r="S99" s="80"/>
    </row>
    <row r="100" spans="1:19" s="44" customFormat="1">
      <c r="A100" s="15"/>
      <c r="B100" s="79"/>
      <c r="C100" s="18" t="str">
        <f>IF(B100="","",VLOOKUP(B100,'Tabla de proceso'!$B$6:$G$28,2,))</f>
        <v/>
      </c>
      <c r="D100" s="17" t="str">
        <f>IF(B100="","",VLOOKUP(B100,'Tabla de proceso'!$B$5:$G$28,3,0))</f>
        <v/>
      </c>
      <c r="E100" s="13" t="str">
        <f t="shared" si="11"/>
        <v/>
      </c>
      <c r="F100" s="13" t="str">
        <f t="shared" si="12"/>
        <v/>
      </c>
      <c r="G100" s="13" t="str">
        <f t="shared" si="13"/>
        <v/>
      </c>
      <c r="H100" s="13" t="e">
        <f t="shared" si="14"/>
        <v>#VALUE!</v>
      </c>
      <c r="I100" s="47"/>
      <c r="J100" s="16">
        <f t="shared" si="15"/>
        <v>0</v>
      </c>
      <c r="K100" s="45" t="str">
        <f t="shared" si="16"/>
        <v>sábado</v>
      </c>
      <c r="L100" s="49"/>
      <c r="M100" s="50"/>
      <c r="N100" s="52">
        <f t="shared" si="17"/>
        <v>0</v>
      </c>
      <c r="O100" s="52">
        <f t="shared" si="18"/>
        <v>0</v>
      </c>
      <c r="P100" s="53">
        <f t="shared" si="19"/>
        <v>0</v>
      </c>
      <c r="Q100" s="54" t="str">
        <f t="shared" si="20"/>
        <v/>
      </c>
      <c r="R100" s="58" t="str">
        <f t="shared" si="21"/>
        <v/>
      </c>
      <c r="S100" s="80"/>
    </row>
    <row r="101" spans="1:19" s="44" customFormat="1">
      <c r="A101" s="15"/>
      <c r="B101" s="79"/>
      <c r="C101" s="18" t="str">
        <f>IF(B101="","",VLOOKUP(B101,'Tabla de proceso'!$B$6:$G$28,2,))</f>
        <v/>
      </c>
      <c r="D101" s="17" t="str">
        <f>IF(B101="","",VLOOKUP(B101,'Tabla de proceso'!$B$5:$G$28,3,0))</f>
        <v/>
      </c>
      <c r="E101" s="13" t="str">
        <f t="shared" si="11"/>
        <v/>
      </c>
      <c r="F101" s="13" t="str">
        <f t="shared" si="12"/>
        <v/>
      </c>
      <c r="G101" s="13" t="str">
        <f t="shared" si="13"/>
        <v/>
      </c>
      <c r="H101" s="13" t="e">
        <f t="shared" si="14"/>
        <v>#VALUE!</v>
      </c>
      <c r="I101" s="47"/>
      <c r="J101" s="16">
        <f t="shared" si="15"/>
        <v>0</v>
      </c>
      <c r="K101" s="45" t="str">
        <f t="shared" si="16"/>
        <v>sábado</v>
      </c>
      <c r="L101" s="49"/>
      <c r="M101" s="50"/>
      <c r="N101" s="52">
        <f t="shared" si="17"/>
        <v>0</v>
      </c>
      <c r="O101" s="52">
        <f t="shared" si="18"/>
        <v>0</v>
      </c>
      <c r="P101" s="53">
        <f t="shared" si="19"/>
        <v>0</v>
      </c>
      <c r="Q101" s="54" t="str">
        <f t="shared" si="20"/>
        <v/>
      </c>
      <c r="R101" s="58" t="str">
        <f t="shared" si="21"/>
        <v/>
      </c>
      <c r="S101" s="80"/>
    </row>
    <row r="102" spans="1:19" s="44" customFormat="1">
      <c r="A102" s="15"/>
      <c r="B102" s="79"/>
      <c r="C102" s="18" t="str">
        <f>IF(B102="","",VLOOKUP(B102,'Tabla de proceso'!$B$6:$G$28,2,))</f>
        <v/>
      </c>
      <c r="D102" s="17" t="str">
        <f>IF(B102="","",VLOOKUP(B102,'Tabla de proceso'!$B$5:$G$28,3,0))</f>
        <v/>
      </c>
      <c r="E102" s="13" t="str">
        <f t="shared" si="11"/>
        <v/>
      </c>
      <c r="F102" s="13" t="str">
        <f t="shared" si="12"/>
        <v/>
      </c>
      <c r="G102" s="13" t="str">
        <f t="shared" si="13"/>
        <v/>
      </c>
      <c r="H102" s="13" t="e">
        <f t="shared" si="14"/>
        <v>#VALUE!</v>
      </c>
      <c r="I102" s="47"/>
      <c r="J102" s="16">
        <f t="shared" si="15"/>
        <v>0</v>
      </c>
      <c r="K102" s="45" t="str">
        <f t="shared" si="16"/>
        <v>sábado</v>
      </c>
      <c r="L102" s="49"/>
      <c r="M102" s="50"/>
      <c r="N102" s="52">
        <f t="shared" si="17"/>
        <v>0</v>
      </c>
      <c r="O102" s="52">
        <f t="shared" si="18"/>
        <v>0</v>
      </c>
      <c r="P102" s="53">
        <f t="shared" si="19"/>
        <v>0</v>
      </c>
      <c r="Q102" s="54" t="str">
        <f t="shared" si="20"/>
        <v/>
      </c>
      <c r="R102" s="58" t="str">
        <f t="shared" si="21"/>
        <v/>
      </c>
      <c r="S102" s="80"/>
    </row>
    <row r="103" spans="1:19" s="44" customFormat="1">
      <c r="A103" s="15"/>
      <c r="B103" s="79"/>
      <c r="C103" s="18" t="str">
        <f>IF(B103="","",VLOOKUP(B103,'Tabla de proceso'!$B$6:$G$28,2,))</f>
        <v/>
      </c>
      <c r="D103" s="17" t="str">
        <f>IF(B103="","",VLOOKUP(B103,'Tabla de proceso'!$B$5:$G$28,3,0))</f>
        <v/>
      </c>
      <c r="E103" s="13" t="str">
        <f t="shared" si="11"/>
        <v/>
      </c>
      <c r="F103" s="13" t="str">
        <f t="shared" si="12"/>
        <v/>
      </c>
      <c r="G103" s="13" t="str">
        <f t="shared" si="13"/>
        <v/>
      </c>
      <c r="H103" s="13" t="e">
        <f t="shared" si="14"/>
        <v>#VALUE!</v>
      </c>
      <c r="I103" s="47"/>
      <c r="J103" s="16">
        <f t="shared" si="15"/>
        <v>0</v>
      </c>
      <c r="K103" s="45" t="str">
        <f t="shared" si="16"/>
        <v>sábado</v>
      </c>
      <c r="L103" s="49"/>
      <c r="M103" s="50"/>
      <c r="N103" s="52">
        <f t="shared" si="17"/>
        <v>0</v>
      </c>
      <c r="O103" s="52">
        <f t="shared" si="18"/>
        <v>0</v>
      </c>
      <c r="P103" s="53">
        <f t="shared" si="19"/>
        <v>0</v>
      </c>
      <c r="Q103" s="54" t="str">
        <f t="shared" si="20"/>
        <v/>
      </c>
      <c r="R103" s="58" t="str">
        <f t="shared" si="21"/>
        <v/>
      </c>
      <c r="S103" s="80"/>
    </row>
    <row r="104" spans="1:19" s="44" customFormat="1">
      <c r="A104" s="15"/>
      <c r="B104" s="79"/>
      <c r="C104" s="18" t="str">
        <f>IF(B104="","",VLOOKUP(B104,'Tabla de proceso'!$B$6:$G$28,2,))</f>
        <v/>
      </c>
      <c r="D104" s="17" t="str">
        <f>IF(B104="","",VLOOKUP(B104,'Tabla de proceso'!$B$5:$G$28,3,0))</f>
        <v/>
      </c>
      <c r="E104" s="13" t="str">
        <f t="shared" si="11"/>
        <v/>
      </c>
      <c r="F104" s="13" t="str">
        <f t="shared" si="12"/>
        <v/>
      </c>
      <c r="G104" s="13" t="str">
        <f t="shared" si="13"/>
        <v/>
      </c>
      <c r="H104" s="13" t="e">
        <f t="shared" si="14"/>
        <v>#VALUE!</v>
      </c>
      <c r="I104" s="47"/>
      <c r="J104" s="16">
        <f t="shared" si="15"/>
        <v>0</v>
      </c>
      <c r="K104" s="45" t="str">
        <f t="shared" si="16"/>
        <v>sábado</v>
      </c>
      <c r="L104" s="49"/>
      <c r="M104" s="50"/>
      <c r="N104" s="52">
        <f t="shared" si="17"/>
        <v>0</v>
      </c>
      <c r="O104" s="52">
        <f t="shared" si="18"/>
        <v>0</v>
      </c>
      <c r="P104" s="53">
        <f t="shared" si="19"/>
        <v>0</v>
      </c>
      <c r="Q104" s="54" t="str">
        <f t="shared" si="20"/>
        <v/>
      </c>
      <c r="R104" s="58" t="str">
        <f t="shared" si="21"/>
        <v/>
      </c>
      <c r="S104" s="80"/>
    </row>
    <row r="105" spans="1:19" s="44" customFormat="1">
      <c r="A105" s="15"/>
      <c r="B105" s="79"/>
      <c r="C105" s="18" t="str">
        <f>IF(B105="","",VLOOKUP(B105,'Tabla de proceso'!$B$6:$G$28,2,))</f>
        <v/>
      </c>
      <c r="D105" s="17" t="str">
        <f>IF(B105="","",VLOOKUP(B105,'Tabla de proceso'!$B$5:$G$28,3,0))</f>
        <v/>
      </c>
      <c r="E105" s="13" t="str">
        <f t="shared" si="11"/>
        <v/>
      </c>
      <c r="F105" s="13" t="str">
        <f t="shared" si="12"/>
        <v/>
      </c>
      <c r="G105" s="13" t="str">
        <f t="shared" si="13"/>
        <v/>
      </c>
      <c r="H105" s="13" t="e">
        <f t="shared" si="14"/>
        <v>#VALUE!</v>
      </c>
      <c r="I105" s="47"/>
      <c r="J105" s="16">
        <f t="shared" si="15"/>
        <v>0</v>
      </c>
      <c r="K105" s="45" t="str">
        <f t="shared" si="16"/>
        <v>sábado</v>
      </c>
      <c r="L105" s="49"/>
      <c r="M105" s="50"/>
      <c r="N105" s="52">
        <f t="shared" si="17"/>
        <v>0</v>
      </c>
      <c r="O105" s="52">
        <f t="shared" si="18"/>
        <v>0</v>
      </c>
      <c r="P105" s="53">
        <f t="shared" si="19"/>
        <v>0</v>
      </c>
      <c r="Q105" s="54" t="str">
        <f t="shared" si="20"/>
        <v/>
      </c>
      <c r="R105" s="58" t="str">
        <f t="shared" si="21"/>
        <v/>
      </c>
      <c r="S105" s="80"/>
    </row>
    <row r="106" spans="1:19" s="44" customFormat="1">
      <c r="A106" s="15"/>
      <c r="B106" s="79"/>
      <c r="C106" s="18" t="str">
        <f>IF(B106="","",VLOOKUP(B106,'Tabla de proceso'!$B$6:$G$28,2,))</f>
        <v/>
      </c>
      <c r="D106" s="17" t="str">
        <f>IF(B106="","",VLOOKUP(B106,'Tabla de proceso'!$B$5:$G$28,3,0))</f>
        <v/>
      </c>
      <c r="E106" s="13" t="str">
        <f t="shared" si="11"/>
        <v/>
      </c>
      <c r="F106" s="13" t="str">
        <f t="shared" si="12"/>
        <v/>
      </c>
      <c r="G106" s="13" t="str">
        <f t="shared" si="13"/>
        <v/>
      </c>
      <c r="H106" s="13" t="e">
        <f t="shared" si="14"/>
        <v>#VALUE!</v>
      </c>
      <c r="I106" s="47"/>
      <c r="J106" s="16">
        <f t="shared" si="15"/>
        <v>0</v>
      </c>
      <c r="K106" s="45" t="str">
        <f t="shared" si="16"/>
        <v>sábado</v>
      </c>
      <c r="L106" s="49"/>
      <c r="M106" s="50"/>
      <c r="N106" s="52">
        <f t="shared" si="17"/>
        <v>0</v>
      </c>
      <c r="O106" s="52">
        <f t="shared" si="18"/>
        <v>0</v>
      </c>
      <c r="P106" s="53">
        <f t="shared" si="19"/>
        <v>0</v>
      </c>
      <c r="Q106" s="54" t="str">
        <f t="shared" si="20"/>
        <v/>
      </c>
      <c r="R106" s="58" t="str">
        <f t="shared" si="21"/>
        <v/>
      </c>
      <c r="S106" s="80"/>
    </row>
    <row r="107" spans="1:19" s="44" customFormat="1">
      <c r="A107" s="15"/>
      <c r="B107" s="79"/>
      <c r="C107" s="18" t="str">
        <f>IF(B107="","",VLOOKUP(B107,'Tabla de proceso'!$B$6:$G$28,2,))</f>
        <v/>
      </c>
      <c r="D107" s="17" t="str">
        <f>IF(B107="","",VLOOKUP(B107,'Tabla de proceso'!$B$5:$G$28,3,0))</f>
        <v/>
      </c>
      <c r="E107" s="13" t="str">
        <f t="shared" si="11"/>
        <v/>
      </c>
      <c r="F107" s="13" t="str">
        <f t="shared" si="12"/>
        <v/>
      </c>
      <c r="G107" s="13" t="str">
        <f t="shared" si="13"/>
        <v/>
      </c>
      <c r="H107" s="13" t="e">
        <f t="shared" si="14"/>
        <v>#VALUE!</v>
      </c>
      <c r="I107" s="47"/>
      <c r="J107" s="16">
        <f t="shared" si="15"/>
        <v>0</v>
      </c>
      <c r="K107" s="45" t="str">
        <f t="shared" si="16"/>
        <v>sábado</v>
      </c>
      <c r="L107" s="49"/>
      <c r="M107" s="50"/>
      <c r="N107" s="52">
        <f t="shared" si="17"/>
        <v>0</v>
      </c>
      <c r="O107" s="52">
        <f t="shared" si="18"/>
        <v>0</v>
      </c>
      <c r="P107" s="53">
        <f t="shared" si="19"/>
        <v>0</v>
      </c>
      <c r="Q107" s="54" t="str">
        <f t="shared" si="20"/>
        <v/>
      </c>
      <c r="R107" s="58" t="str">
        <f t="shared" si="21"/>
        <v/>
      </c>
      <c r="S107" s="80"/>
    </row>
    <row r="108" spans="1:19" s="44" customFormat="1">
      <c r="A108" s="15"/>
      <c r="B108" s="79"/>
      <c r="C108" s="18" t="str">
        <f>IF(B108="","",VLOOKUP(B108,'Tabla de proceso'!$B$6:$G$28,2,))</f>
        <v/>
      </c>
      <c r="D108" s="17" t="str">
        <f>IF(B108="","",VLOOKUP(B108,'Tabla de proceso'!$B$5:$G$28,3,0))</f>
        <v/>
      </c>
      <c r="E108" s="13" t="str">
        <f t="shared" si="11"/>
        <v/>
      </c>
      <c r="F108" s="13" t="str">
        <f t="shared" si="12"/>
        <v/>
      </c>
      <c r="G108" s="13" t="str">
        <f t="shared" si="13"/>
        <v/>
      </c>
      <c r="H108" s="13" t="e">
        <f t="shared" si="14"/>
        <v>#VALUE!</v>
      </c>
      <c r="I108" s="47"/>
      <c r="J108" s="16">
        <f t="shared" si="15"/>
        <v>0</v>
      </c>
      <c r="K108" s="45" t="str">
        <f t="shared" si="16"/>
        <v>sábado</v>
      </c>
      <c r="L108" s="49"/>
      <c r="M108" s="50"/>
      <c r="N108" s="52">
        <f t="shared" si="17"/>
        <v>0</v>
      </c>
      <c r="O108" s="52">
        <f t="shared" si="18"/>
        <v>0</v>
      </c>
      <c r="P108" s="53">
        <f t="shared" si="19"/>
        <v>0</v>
      </c>
      <c r="Q108" s="54" t="str">
        <f t="shared" si="20"/>
        <v/>
      </c>
      <c r="R108" s="58" t="str">
        <f t="shared" si="21"/>
        <v/>
      </c>
      <c r="S108" s="80"/>
    </row>
    <row r="109" spans="1:19" s="44" customFormat="1">
      <c r="A109" s="15"/>
      <c r="B109" s="79"/>
      <c r="C109" s="18" t="str">
        <f>IF(B109="","",VLOOKUP(B109,'Tabla de proceso'!$B$6:$G$28,2,))</f>
        <v/>
      </c>
      <c r="D109" s="17" t="str">
        <f>IF(B109="","",VLOOKUP(B109,'Tabla de proceso'!$B$5:$G$28,3,0))</f>
        <v/>
      </c>
      <c r="E109" s="13" t="str">
        <f t="shared" si="11"/>
        <v/>
      </c>
      <c r="F109" s="13" t="str">
        <f t="shared" si="12"/>
        <v/>
      </c>
      <c r="G109" s="13" t="str">
        <f t="shared" si="13"/>
        <v/>
      </c>
      <c r="H109" s="13" t="e">
        <f t="shared" si="14"/>
        <v>#VALUE!</v>
      </c>
      <c r="I109" s="47"/>
      <c r="J109" s="16">
        <f t="shared" si="15"/>
        <v>0</v>
      </c>
      <c r="K109" s="45" t="str">
        <f t="shared" si="16"/>
        <v>sábado</v>
      </c>
      <c r="L109" s="49"/>
      <c r="M109" s="50"/>
      <c r="N109" s="52">
        <f t="shared" si="17"/>
        <v>0</v>
      </c>
      <c r="O109" s="52">
        <f t="shared" si="18"/>
        <v>0</v>
      </c>
      <c r="P109" s="53">
        <f t="shared" si="19"/>
        <v>0</v>
      </c>
      <c r="Q109" s="54" t="str">
        <f t="shared" si="20"/>
        <v/>
      </c>
      <c r="R109" s="58" t="str">
        <f t="shared" si="21"/>
        <v/>
      </c>
      <c r="S109" s="80"/>
    </row>
    <row r="110" spans="1:19" s="44" customFormat="1">
      <c r="A110" s="15"/>
      <c r="B110" s="79"/>
      <c r="C110" s="18" t="str">
        <f>IF(B110="","",VLOOKUP(B110,'Tabla de proceso'!$B$6:$G$28,2,))</f>
        <v/>
      </c>
      <c r="D110" s="17" t="str">
        <f>IF(B110="","",VLOOKUP(B110,'Tabla de proceso'!$B$5:$G$28,3,0))</f>
        <v/>
      </c>
      <c r="E110" s="13" t="str">
        <f t="shared" si="11"/>
        <v/>
      </c>
      <c r="F110" s="13" t="str">
        <f t="shared" si="12"/>
        <v/>
      </c>
      <c r="G110" s="13" t="str">
        <f t="shared" si="13"/>
        <v/>
      </c>
      <c r="H110" s="13" t="e">
        <f t="shared" si="14"/>
        <v>#VALUE!</v>
      </c>
      <c r="I110" s="47"/>
      <c r="J110" s="16">
        <f t="shared" si="15"/>
        <v>0</v>
      </c>
      <c r="K110" s="45" t="str">
        <f t="shared" si="16"/>
        <v>sábado</v>
      </c>
      <c r="L110" s="49"/>
      <c r="M110" s="50"/>
      <c r="N110" s="52">
        <f t="shared" si="17"/>
        <v>0</v>
      </c>
      <c r="O110" s="52">
        <f t="shared" si="18"/>
        <v>0</v>
      </c>
      <c r="P110" s="53">
        <f t="shared" si="19"/>
        <v>0</v>
      </c>
      <c r="Q110" s="54" t="str">
        <f t="shared" si="20"/>
        <v/>
      </c>
      <c r="R110" s="58" t="str">
        <f t="shared" si="21"/>
        <v/>
      </c>
      <c r="S110" s="80"/>
    </row>
    <row r="111" spans="1:19" s="44" customFormat="1">
      <c r="A111" s="15"/>
      <c r="B111" s="79"/>
      <c r="C111" s="18" t="str">
        <f>IF(B111="","",VLOOKUP(B111,'Tabla de proceso'!$B$6:$G$28,2,))</f>
        <v/>
      </c>
      <c r="D111" s="17" t="str">
        <f>IF(B111="","",VLOOKUP(B111,'Tabla de proceso'!$B$5:$G$28,3,0))</f>
        <v/>
      </c>
      <c r="E111" s="13" t="str">
        <f t="shared" si="11"/>
        <v/>
      </c>
      <c r="F111" s="13" t="str">
        <f t="shared" si="12"/>
        <v/>
      </c>
      <c r="G111" s="13" t="str">
        <f t="shared" si="13"/>
        <v/>
      </c>
      <c r="H111" s="13" t="e">
        <f t="shared" si="14"/>
        <v>#VALUE!</v>
      </c>
      <c r="I111" s="47"/>
      <c r="J111" s="16">
        <f t="shared" si="15"/>
        <v>0</v>
      </c>
      <c r="K111" s="45" t="str">
        <f t="shared" si="16"/>
        <v>sábado</v>
      </c>
      <c r="L111" s="49"/>
      <c r="M111" s="50"/>
      <c r="N111" s="52">
        <f t="shared" si="17"/>
        <v>0</v>
      </c>
      <c r="O111" s="52">
        <f t="shared" si="18"/>
        <v>0</v>
      </c>
      <c r="P111" s="53">
        <f t="shared" si="19"/>
        <v>0</v>
      </c>
      <c r="Q111" s="54" t="str">
        <f t="shared" si="20"/>
        <v/>
      </c>
      <c r="R111" s="58" t="str">
        <f t="shared" si="21"/>
        <v/>
      </c>
      <c r="S111" s="80"/>
    </row>
    <row r="112" spans="1:19" s="44" customFormat="1">
      <c r="A112" s="15"/>
      <c r="B112" s="79"/>
      <c r="C112" s="18" t="str">
        <f>IF(B112="","",VLOOKUP(B112,'Tabla de proceso'!$B$6:$G$28,2,))</f>
        <v/>
      </c>
      <c r="D112" s="17" t="str">
        <f>IF(B112="","",VLOOKUP(B112,'Tabla de proceso'!$B$5:$G$28,3,0))</f>
        <v/>
      </c>
      <c r="E112" s="13" t="str">
        <f t="shared" si="11"/>
        <v/>
      </c>
      <c r="F112" s="13" t="str">
        <f t="shared" si="12"/>
        <v/>
      </c>
      <c r="G112" s="13" t="str">
        <f t="shared" si="13"/>
        <v/>
      </c>
      <c r="H112" s="13" t="e">
        <f t="shared" si="14"/>
        <v>#VALUE!</v>
      </c>
      <c r="I112" s="47"/>
      <c r="J112" s="16">
        <f t="shared" si="15"/>
        <v>0</v>
      </c>
      <c r="K112" s="45" t="str">
        <f t="shared" si="16"/>
        <v>sábado</v>
      </c>
      <c r="L112" s="49"/>
      <c r="M112" s="50"/>
      <c r="N112" s="52">
        <f t="shared" si="17"/>
        <v>0</v>
      </c>
      <c r="O112" s="52">
        <f t="shared" si="18"/>
        <v>0</v>
      </c>
      <c r="P112" s="53">
        <f t="shared" si="19"/>
        <v>0</v>
      </c>
      <c r="Q112" s="54" t="str">
        <f t="shared" si="20"/>
        <v/>
      </c>
      <c r="R112" s="58" t="str">
        <f t="shared" si="21"/>
        <v/>
      </c>
      <c r="S112" s="80"/>
    </row>
    <row r="113" spans="1:19" s="44" customFormat="1">
      <c r="A113" s="15"/>
      <c r="B113" s="79"/>
      <c r="C113" s="18" t="str">
        <f>IF(B113="","",VLOOKUP(B113,'Tabla de proceso'!$B$6:$G$28,2,))</f>
        <v/>
      </c>
      <c r="D113" s="17" t="str">
        <f>IF(B113="","",VLOOKUP(B113,'Tabla de proceso'!$B$5:$G$28,3,0))</f>
        <v/>
      </c>
      <c r="E113" s="13" t="str">
        <f t="shared" si="11"/>
        <v/>
      </c>
      <c r="F113" s="13" t="str">
        <f t="shared" si="12"/>
        <v/>
      </c>
      <c r="G113" s="13" t="str">
        <f t="shared" si="13"/>
        <v/>
      </c>
      <c r="H113" s="13" t="e">
        <f t="shared" si="14"/>
        <v>#VALUE!</v>
      </c>
      <c r="I113" s="47"/>
      <c r="J113" s="16">
        <f t="shared" si="15"/>
        <v>0</v>
      </c>
      <c r="K113" s="45" t="str">
        <f t="shared" si="16"/>
        <v>sábado</v>
      </c>
      <c r="L113" s="49"/>
      <c r="M113" s="50"/>
      <c r="N113" s="52">
        <f t="shared" si="17"/>
        <v>0</v>
      </c>
      <c r="O113" s="52">
        <f t="shared" si="18"/>
        <v>0</v>
      </c>
      <c r="P113" s="53">
        <f t="shared" si="19"/>
        <v>0</v>
      </c>
      <c r="Q113" s="54" t="str">
        <f t="shared" si="20"/>
        <v/>
      </c>
      <c r="R113" s="58" t="str">
        <f t="shared" si="21"/>
        <v/>
      </c>
      <c r="S113" s="80"/>
    </row>
    <row r="114" spans="1:19" s="44" customFormat="1">
      <c r="A114" s="15"/>
      <c r="B114" s="79"/>
      <c r="C114" s="18" t="str">
        <f>IF(B114="","",VLOOKUP(B114,'Tabla de proceso'!$B$6:$G$28,2,))</f>
        <v/>
      </c>
      <c r="D114" s="17" t="str">
        <f>IF(B114="","",VLOOKUP(B114,'Tabla de proceso'!$B$5:$G$28,3,0))</f>
        <v/>
      </c>
      <c r="E114" s="13" t="str">
        <f t="shared" si="11"/>
        <v/>
      </c>
      <c r="F114" s="13" t="str">
        <f t="shared" si="12"/>
        <v/>
      </c>
      <c r="G114" s="13" t="str">
        <f t="shared" si="13"/>
        <v/>
      </c>
      <c r="H114" s="13" t="e">
        <f t="shared" si="14"/>
        <v>#VALUE!</v>
      </c>
      <c r="I114" s="47"/>
      <c r="J114" s="16">
        <f t="shared" si="15"/>
        <v>0</v>
      </c>
      <c r="K114" s="45" t="str">
        <f t="shared" si="16"/>
        <v>sábado</v>
      </c>
      <c r="L114" s="49"/>
      <c r="M114" s="50"/>
      <c r="N114" s="52">
        <f t="shared" si="17"/>
        <v>0</v>
      </c>
      <c r="O114" s="52">
        <f t="shared" si="18"/>
        <v>0</v>
      </c>
      <c r="P114" s="53">
        <f t="shared" si="19"/>
        <v>0</v>
      </c>
      <c r="Q114" s="54" t="str">
        <f t="shared" si="20"/>
        <v/>
      </c>
      <c r="R114" s="58" t="str">
        <f t="shared" si="21"/>
        <v/>
      </c>
      <c r="S114" s="80"/>
    </row>
    <row r="115" spans="1:19" s="44" customFormat="1">
      <c r="A115" s="15"/>
      <c r="B115" s="79"/>
      <c r="C115" s="18" t="str">
        <f>IF(B115="","",VLOOKUP(B115,'Tabla de proceso'!$B$6:$G$28,2,))</f>
        <v/>
      </c>
      <c r="D115" s="17" t="str">
        <f>IF(B115="","",VLOOKUP(B115,'Tabla de proceso'!$B$5:$G$28,3,0))</f>
        <v/>
      </c>
      <c r="E115" s="13" t="str">
        <f t="shared" si="11"/>
        <v/>
      </c>
      <c r="F115" s="13" t="str">
        <f t="shared" si="12"/>
        <v/>
      </c>
      <c r="G115" s="13" t="str">
        <f t="shared" si="13"/>
        <v/>
      </c>
      <c r="H115" s="13" t="e">
        <f t="shared" si="14"/>
        <v>#VALUE!</v>
      </c>
      <c r="I115" s="47"/>
      <c r="J115" s="16">
        <f t="shared" si="15"/>
        <v>0</v>
      </c>
      <c r="K115" s="45" t="str">
        <f t="shared" si="16"/>
        <v>sábado</v>
      </c>
      <c r="L115" s="49"/>
      <c r="M115" s="50"/>
      <c r="N115" s="52">
        <f t="shared" si="17"/>
        <v>0</v>
      </c>
      <c r="O115" s="52">
        <f t="shared" si="18"/>
        <v>0</v>
      </c>
      <c r="P115" s="53">
        <f t="shared" si="19"/>
        <v>0</v>
      </c>
      <c r="Q115" s="54" t="str">
        <f t="shared" si="20"/>
        <v/>
      </c>
      <c r="R115" s="58" t="str">
        <f t="shared" si="21"/>
        <v/>
      </c>
      <c r="S115" s="80"/>
    </row>
    <row r="116" spans="1:19" s="44" customFormat="1">
      <c r="A116" s="15"/>
      <c r="B116" s="79"/>
      <c r="C116" s="18" t="str">
        <f>IF(B116="","",VLOOKUP(B116,'Tabla de proceso'!$B$6:$G$28,2,))</f>
        <v/>
      </c>
      <c r="D116" s="17" t="str">
        <f>IF(B116="","",VLOOKUP(B116,'Tabla de proceso'!$B$5:$G$28,3,0))</f>
        <v/>
      </c>
      <c r="E116" s="13" t="str">
        <f t="shared" si="11"/>
        <v/>
      </c>
      <c r="F116" s="13" t="str">
        <f t="shared" si="12"/>
        <v/>
      </c>
      <c r="G116" s="13" t="str">
        <f t="shared" si="13"/>
        <v/>
      </c>
      <c r="H116" s="13" t="e">
        <f t="shared" si="14"/>
        <v>#VALUE!</v>
      </c>
      <c r="I116" s="47"/>
      <c r="J116" s="16">
        <f t="shared" si="15"/>
        <v>0</v>
      </c>
      <c r="K116" s="45" t="str">
        <f t="shared" si="16"/>
        <v>sábado</v>
      </c>
      <c r="L116" s="49"/>
      <c r="M116" s="50"/>
      <c r="N116" s="52">
        <f t="shared" si="17"/>
        <v>0</v>
      </c>
      <c r="O116" s="52">
        <f t="shared" si="18"/>
        <v>0</v>
      </c>
      <c r="P116" s="53">
        <f t="shared" si="19"/>
        <v>0</v>
      </c>
      <c r="Q116" s="54" t="str">
        <f t="shared" si="20"/>
        <v/>
      </c>
      <c r="R116" s="58" t="str">
        <f t="shared" si="21"/>
        <v/>
      </c>
      <c r="S116" s="80"/>
    </row>
    <row r="117" spans="1:19" s="44" customFormat="1">
      <c r="A117" s="15"/>
      <c r="B117" s="79"/>
      <c r="C117" s="18" t="str">
        <f>IF(B117="","",VLOOKUP(B117,'Tabla de proceso'!$B$6:$G$28,2,))</f>
        <v/>
      </c>
      <c r="D117" s="17" t="str">
        <f>IF(B117="","",VLOOKUP(B117,'Tabla de proceso'!$B$5:$G$28,3,0))</f>
        <v/>
      </c>
      <c r="E117" s="13" t="str">
        <f t="shared" si="11"/>
        <v/>
      </c>
      <c r="F117" s="13" t="str">
        <f t="shared" si="12"/>
        <v/>
      </c>
      <c r="G117" s="13" t="str">
        <f t="shared" si="13"/>
        <v/>
      </c>
      <c r="H117" s="13" t="e">
        <f t="shared" si="14"/>
        <v>#VALUE!</v>
      </c>
      <c r="I117" s="47"/>
      <c r="J117" s="16">
        <f t="shared" si="15"/>
        <v>0</v>
      </c>
      <c r="K117" s="45" t="str">
        <f t="shared" si="16"/>
        <v>sábado</v>
      </c>
      <c r="L117" s="49"/>
      <c r="M117" s="50"/>
      <c r="N117" s="52">
        <f t="shared" si="17"/>
        <v>0</v>
      </c>
      <c r="O117" s="52">
        <f t="shared" si="18"/>
        <v>0</v>
      </c>
      <c r="P117" s="53">
        <f t="shared" si="19"/>
        <v>0</v>
      </c>
      <c r="Q117" s="54" t="str">
        <f t="shared" si="20"/>
        <v/>
      </c>
      <c r="R117" s="58" t="str">
        <f t="shared" si="21"/>
        <v/>
      </c>
      <c r="S117" s="80"/>
    </row>
    <row r="118" spans="1:19" s="44" customFormat="1">
      <c r="A118" s="15"/>
      <c r="B118" s="79"/>
      <c r="C118" s="18" t="str">
        <f>IF(B118="","",VLOOKUP(B118,'Tabla de proceso'!$B$6:$G$28,2,))</f>
        <v/>
      </c>
      <c r="D118" s="17" t="str">
        <f>IF(B118="","",VLOOKUP(B118,'Tabla de proceso'!$B$5:$G$28,3,0))</f>
        <v/>
      </c>
      <c r="E118" s="13" t="str">
        <f t="shared" si="11"/>
        <v/>
      </c>
      <c r="F118" s="13" t="str">
        <f t="shared" si="12"/>
        <v/>
      </c>
      <c r="G118" s="13" t="str">
        <f t="shared" si="13"/>
        <v/>
      </c>
      <c r="H118" s="13" t="e">
        <f t="shared" si="14"/>
        <v>#VALUE!</v>
      </c>
      <c r="I118" s="47"/>
      <c r="J118" s="16">
        <f t="shared" si="15"/>
        <v>0</v>
      </c>
      <c r="K118" s="45" t="str">
        <f t="shared" si="16"/>
        <v>sábado</v>
      </c>
      <c r="L118" s="49"/>
      <c r="M118" s="50"/>
      <c r="N118" s="52">
        <f t="shared" si="17"/>
        <v>0</v>
      </c>
      <c r="O118" s="52">
        <f t="shared" si="18"/>
        <v>0</v>
      </c>
      <c r="P118" s="53">
        <f t="shared" si="19"/>
        <v>0</v>
      </c>
      <c r="Q118" s="54" t="str">
        <f t="shared" si="20"/>
        <v/>
      </c>
      <c r="R118" s="58" t="str">
        <f t="shared" si="21"/>
        <v/>
      </c>
      <c r="S118" s="80"/>
    </row>
    <row r="119" spans="1:19" s="44" customFormat="1">
      <c r="A119" s="15"/>
      <c r="B119" s="79"/>
      <c r="C119" s="18" t="str">
        <f>IF(B119="","",VLOOKUP(B119,'Tabla de proceso'!$B$6:$G$28,2,))</f>
        <v/>
      </c>
      <c r="D119" s="17" t="str">
        <f>IF(B119="","",VLOOKUP(B119,'Tabla de proceso'!$B$5:$G$28,3,0))</f>
        <v/>
      </c>
      <c r="E119" s="13" t="str">
        <f t="shared" si="11"/>
        <v/>
      </c>
      <c r="F119" s="13" t="str">
        <f t="shared" si="12"/>
        <v/>
      </c>
      <c r="G119" s="13" t="str">
        <f t="shared" si="13"/>
        <v/>
      </c>
      <c r="H119" s="13" t="e">
        <f t="shared" si="14"/>
        <v>#VALUE!</v>
      </c>
      <c r="I119" s="47"/>
      <c r="J119" s="16">
        <f t="shared" si="15"/>
        <v>0</v>
      </c>
      <c r="K119" s="45" t="str">
        <f t="shared" si="16"/>
        <v>sábado</v>
      </c>
      <c r="L119" s="49"/>
      <c r="M119" s="50"/>
      <c r="N119" s="52">
        <f t="shared" si="17"/>
        <v>0</v>
      </c>
      <c r="O119" s="52">
        <f t="shared" si="18"/>
        <v>0</v>
      </c>
      <c r="P119" s="53">
        <f t="shared" si="19"/>
        <v>0</v>
      </c>
      <c r="Q119" s="54" t="str">
        <f t="shared" si="20"/>
        <v/>
      </c>
      <c r="R119" s="58" t="str">
        <f t="shared" si="21"/>
        <v/>
      </c>
      <c r="S119" s="80"/>
    </row>
    <row r="120" spans="1:19" s="44" customFormat="1">
      <c r="A120" s="15"/>
      <c r="B120" s="79"/>
      <c r="C120" s="18" t="str">
        <f>IF(B120="","",VLOOKUP(B120,'Tabla de proceso'!$B$6:$G$28,2,))</f>
        <v/>
      </c>
      <c r="D120" s="17" t="str">
        <f>IF(B120="","",VLOOKUP(B120,'Tabla de proceso'!$B$5:$G$28,3,0))</f>
        <v/>
      </c>
      <c r="E120" s="13" t="str">
        <f t="shared" si="11"/>
        <v/>
      </c>
      <c r="F120" s="13" t="str">
        <f t="shared" si="12"/>
        <v/>
      </c>
      <c r="G120" s="13" t="str">
        <f t="shared" si="13"/>
        <v/>
      </c>
      <c r="H120" s="13" t="e">
        <f t="shared" si="14"/>
        <v>#VALUE!</v>
      </c>
      <c r="I120" s="47"/>
      <c r="J120" s="16">
        <f t="shared" si="15"/>
        <v>0</v>
      </c>
      <c r="K120" s="45" t="str">
        <f t="shared" si="16"/>
        <v>sábado</v>
      </c>
      <c r="L120" s="49"/>
      <c r="M120" s="50"/>
      <c r="N120" s="52">
        <f t="shared" si="17"/>
        <v>0</v>
      </c>
      <c r="O120" s="52">
        <f t="shared" si="18"/>
        <v>0</v>
      </c>
      <c r="P120" s="53">
        <f t="shared" si="19"/>
        <v>0</v>
      </c>
      <c r="Q120" s="54" t="str">
        <f t="shared" si="20"/>
        <v/>
      </c>
      <c r="R120" s="58" t="str">
        <f t="shared" si="21"/>
        <v/>
      </c>
      <c r="S120" s="80"/>
    </row>
    <row r="121" spans="1:19" s="44" customFormat="1">
      <c r="A121" s="15"/>
      <c r="B121" s="79"/>
      <c r="C121" s="18" t="str">
        <f>IF(B121="","",VLOOKUP(B121,'Tabla de proceso'!$B$6:$G$28,2,))</f>
        <v/>
      </c>
      <c r="D121" s="17" t="str">
        <f>IF(B121="","",VLOOKUP(B121,'Tabla de proceso'!$B$5:$G$28,3,0))</f>
        <v/>
      </c>
      <c r="E121" s="13" t="str">
        <f t="shared" si="11"/>
        <v/>
      </c>
      <c r="F121" s="13" t="str">
        <f t="shared" si="12"/>
        <v/>
      </c>
      <c r="G121" s="13" t="str">
        <f t="shared" si="13"/>
        <v/>
      </c>
      <c r="H121" s="13" t="e">
        <f t="shared" si="14"/>
        <v>#VALUE!</v>
      </c>
      <c r="I121" s="47"/>
      <c r="J121" s="16">
        <f t="shared" si="15"/>
        <v>0</v>
      </c>
      <c r="K121" s="45" t="str">
        <f t="shared" si="16"/>
        <v>sábado</v>
      </c>
      <c r="L121" s="49"/>
      <c r="M121" s="50"/>
      <c r="N121" s="52">
        <f t="shared" si="17"/>
        <v>0</v>
      </c>
      <c r="O121" s="52">
        <f t="shared" si="18"/>
        <v>0</v>
      </c>
      <c r="P121" s="53">
        <f t="shared" si="19"/>
        <v>0</v>
      </c>
      <c r="Q121" s="54" t="str">
        <f t="shared" si="20"/>
        <v/>
      </c>
      <c r="R121" s="58" t="str">
        <f t="shared" si="21"/>
        <v/>
      </c>
      <c r="S121" s="80"/>
    </row>
    <row r="122" spans="1:19" s="44" customFormat="1">
      <c r="A122" s="15"/>
      <c r="B122" s="79"/>
      <c r="C122" s="18" t="str">
        <f>IF(B122="","",VLOOKUP(B122,'Tabla de proceso'!$B$6:$G$28,2,))</f>
        <v/>
      </c>
      <c r="D122" s="17" t="str">
        <f>IF(B122="","",VLOOKUP(B122,'Tabla de proceso'!$B$5:$G$28,3,0))</f>
        <v/>
      </c>
      <c r="E122" s="13" t="str">
        <f t="shared" si="11"/>
        <v/>
      </c>
      <c r="F122" s="13" t="str">
        <f t="shared" si="12"/>
        <v/>
      </c>
      <c r="G122" s="13" t="str">
        <f t="shared" si="13"/>
        <v/>
      </c>
      <c r="H122" s="13" t="e">
        <f t="shared" si="14"/>
        <v>#VALUE!</v>
      </c>
      <c r="I122" s="47"/>
      <c r="J122" s="16">
        <f t="shared" si="15"/>
        <v>0</v>
      </c>
      <c r="K122" s="45" t="str">
        <f t="shared" si="16"/>
        <v>sábado</v>
      </c>
      <c r="L122" s="49"/>
      <c r="M122" s="50"/>
      <c r="N122" s="52">
        <f t="shared" si="17"/>
        <v>0</v>
      </c>
      <c r="O122" s="52">
        <f t="shared" si="18"/>
        <v>0</v>
      </c>
      <c r="P122" s="53">
        <f t="shared" si="19"/>
        <v>0</v>
      </c>
      <c r="Q122" s="54" t="str">
        <f t="shared" si="20"/>
        <v/>
      </c>
      <c r="R122" s="58" t="str">
        <f t="shared" si="21"/>
        <v/>
      </c>
      <c r="S122" s="80"/>
    </row>
    <row r="123" spans="1:19" s="44" customFormat="1">
      <c r="A123" s="15"/>
      <c r="B123" s="79"/>
      <c r="C123" s="18" t="str">
        <f>IF(B123="","",VLOOKUP(B123,'Tabla de proceso'!$B$6:$G$28,2,))</f>
        <v/>
      </c>
      <c r="D123" s="17" t="str">
        <f>IF(B123="","",VLOOKUP(B123,'Tabla de proceso'!$B$5:$G$28,3,0))</f>
        <v/>
      </c>
      <c r="E123" s="13" t="str">
        <f t="shared" si="11"/>
        <v/>
      </c>
      <c r="F123" s="13" t="str">
        <f t="shared" si="12"/>
        <v/>
      </c>
      <c r="G123" s="13" t="str">
        <f t="shared" si="13"/>
        <v/>
      </c>
      <c r="H123" s="13" t="e">
        <f t="shared" si="14"/>
        <v>#VALUE!</v>
      </c>
      <c r="I123" s="47"/>
      <c r="J123" s="16">
        <f t="shared" si="15"/>
        <v>0</v>
      </c>
      <c r="K123" s="45" t="str">
        <f t="shared" si="16"/>
        <v>sábado</v>
      </c>
      <c r="L123" s="49"/>
      <c r="M123" s="50"/>
      <c r="N123" s="52">
        <f t="shared" si="17"/>
        <v>0</v>
      </c>
      <c r="O123" s="52">
        <f t="shared" si="18"/>
        <v>0</v>
      </c>
      <c r="P123" s="53">
        <f t="shared" si="19"/>
        <v>0</v>
      </c>
      <c r="Q123" s="54" t="str">
        <f t="shared" si="20"/>
        <v/>
      </c>
      <c r="R123" s="58" t="str">
        <f t="shared" si="21"/>
        <v/>
      </c>
      <c r="S123" s="80"/>
    </row>
    <row r="124" spans="1:19" s="44" customFormat="1">
      <c r="A124" s="15"/>
      <c r="B124" s="79"/>
      <c r="C124" s="18" t="str">
        <f>IF(B124="","",VLOOKUP(B124,'Tabla de proceso'!$B$6:$G$28,2,))</f>
        <v/>
      </c>
      <c r="D124" s="17" t="str">
        <f>IF(B124="","",VLOOKUP(B124,'Tabla de proceso'!$B$5:$G$28,3,0))</f>
        <v/>
      </c>
      <c r="E124" s="13" t="str">
        <f t="shared" si="11"/>
        <v/>
      </c>
      <c r="F124" s="13" t="str">
        <f t="shared" si="12"/>
        <v/>
      </c>
      <c r="G124" s="13" t="str">
        <f t="shared" si="13"/>
        <v/>
      </c>
      <c r="H124" s="13" t="e">
        <f t="shared" si="14"/>
        <v>#VALUE!</v>
      </c>
      <c r="I124" s="47"/>
      <c r="J124" s="16">
        <f t="shared" si="15"/>
        <v>0</v>
      </c>
      <c r="K124" s="45" t="str">
        <f t="shared" si="16"/>
        <v>sábado</v>
      </c>
      <c r="L124" s="49"/>
      <c r="M124" s="50"/>
      <c r="N124" s="52">
        <f t="shared" si="17"/>
        <v>0</v>
      </c>
      <c r="O124" s="52">
        <f t="shared" si="18"/>
        <v>0</v>
      </c>
      <c r="P124" s="53">
        <f t="shared" si="19"/>
        <v>0</v>
      </c>
      <c r="Q124" s="54" t="str">
        <f t="shared" si="20"/>
        <v/>
      </c>
      <c r="R124" s="58" t="str">
        <f t="shared" si="21"/>
        <v/>
      </c>
      <c r="S124" s="80"/>
    </row>
    <row r="125" spans="1:19" s="44" customFormat="1">
      <c r="A125" s="15"/>
      <c r="B125" s="79"/>
      <c r="C125" s="18" t="str">
        <f>IF(B125="","",VLOOKUP(B125,'Tabla de proceso'!$B$6:$G$28,2,))</f>
        <v/>
      </c>
      <c r="D125" s="17" t="str">
        <f>IF(B125="","",VLOOKUP(B125,'Tabla de proceso'!$B$5:$G$28,3,0))</f>
        <v/>
      </c>
      <c r="E125" s="13" t="str">
        <f t="shared" si="11"/>
        <v/>
      </c>
      <c r="F125" s="13" t="str">
        <f t="shared" si="12"/>
        <v/>
      </c>
      <c r="G125" s="13" t="str">
        <f t="shared" si="13"/>
        <v/>
      </c>
      <c r="H125" s="13" t="e">
        <f t="shared" si="14"/>
        <v>#VALUE!</v>
      </c>
      <c r="I125" s="47"/>
      <c r="J125" s="16">
        <f t="shared" si="15"/>
        <v>0</v>
      </c>
      <c r="K125" s="45" t="str">
        <f t="shared" si="16"/>
        <v>sábado</v>
      </c>
      <c r="L125" s="49"/>
      <c r="M125" s="50"/>
      <c r="N125" s="52">
        <f t="shared" si="17"/>
        <v>0</v>
      </c>
      <c r="O125" s="52">
        <f t="shared" si="18"/>
        <v>0</v>
      </c>
      <c r="P125" s="53">
        <f t="shared" si="19"/>
        <v>0</v>
      </c>
      <c r="Q125" s="54" t="str">
        <f t="shared" si="20"/>
        <v/>
      </c>
      <c r="R125" s="58" t="str">
        <f t="shared" si="21"/>
        <v/>
      </c>
      <c r="S125" s="80"/>
    </row>
    <row r="126" spans="1:19" s="44" customFormat="1">
      <c r="A126" s="15"/>
      <c r="B126" s="79"/>
      <c r="C126" s="18" t="str">
        <f>IF(B126="","",VLOOKUP(B126,'Tabla de proceso'!$B$6:$G$28,2,))</f>
        <v/>
      </c>
      <c r="D126" s="17" t="str">
        <f>IF(B126="","",VLOOKUP(B126,'Tabla de proceso'!$B$5:$G$28,3,0))</f>
        <v/>
      </c>
      <c r="E126" s="13" t="str">
        <f t="shared" si="11"/>
        <v/>
      </c>
      <c r="F126" s="13" t="str">
        <f t="shared" si="12"/>
        <v/>
      </c>
      <c r="G126" s="13" t="str">
        <f t="shared" si="13"/>
        <v/>
      </c>
      <c r="H126" s="13" t="e">
        <f t="shared" si="14"/>
        <v>#VALUE!</v>
      </c>
      <c r="I126" s="47"/>
      <c r="J126" s="16">
        <f t="shared" si="15"/>
        <v>0</v>
      </c>
      <c r="K126" s="45" t="str">
        <f t="shared" si="16"/>
        <v>sábado</v>
      </c>
      <c r="L126" s="49"/>
      <c r="M126" s="50"/>
      <c r="N126" s="52">
        <f t="shared" si="17"/>
        <v>0</v>
      </c>
      <c r="O126" s="52">
        <f t="shared" si="18"/>
        <v>0</v>
      </c>
      <c r="P126" s="53">
        <f t="shared" si="19"/>
        <v>0</v>
      </c>
      <c r="Q126" s="54" t="str">
        <f t="shared" si="20"/>
        <v/>
      </c>
      <c r="R126" s="58" t="str">
        <f t="shared" si="21"/>
        <v/>
      </c>
      <c r="S126" s="80"/>
    </row>
    <row r="127" spans="1:19" s="44" customFormat="1">
      <c r="A127" s="15"/>
      <c r="B127" s="79"/>
      <c r="C127" s="18" t="str">
        <f>IF(B127="","",VLOOKUP(B127,'Tabla de proceso'!$B$6:$G$28,2,))</f>
        <v/>
      </c>
      <c r="D127" s="17" t="str">
        <f>IF(B127="","",VLOOKUP(B127,'Tabla de proceso'!$B$5:$G$28,3,0))</f>
        <v/>
      </c>
      <c r="E127" s="13" t="str">
        <f t="shared" si="11"/>
        <v/>
      </c>
      <c r="F127" s="13" t="str">
        <f t="shared" si="12"/>
        <v/>
      </c>
      <c r="G127" s="13" t="str">
        <f t="shared" si="13"/>
        <v/>
      </c>
      <c r="H127" s="13" t="e">
        <f t="shared" si="14"/>
        <v>#VALUE!</v>
      </c>
      <c r="I127" s="47"/>
      <c r="J127" s="16">
        <f t="shared" si="15"/>
        <v>0</v>
      </c>
      <c r="K127" s="45" t="str">
        <f t="shared" si="16"/>
        <v>sábado</v>
      </c>
      <c r="L127" s="49"/>
      <c r="M127" s="50"/>
      <c r="N127" s="52">
        <f t="shared" si="17"/>
        <v>0</v>
      </c>
      <c r="O127" s="52">
        <f t="shared" si="18"/>
        <v>0</v>
      </c>
      <c r="P127" s="53">
        <f t="shared" si="19"/>
        <v>0</v>
      </c>
      <c r="Q127" s="54" t="str">
        <f t="shared" si="20"/>
        <v/>
      </c>
      <c r="R127" s="58" t="str">
        <f t="shared" si="21"/>
        <v/>
      </c>
      <c r="S127" s="80"/>
    </row>
    <row r="128" spans="1:19" s="44" customFormat="1">
      <c r="A128" s="15"/>
      <c r="B128" s="79"/>
      <c r="C128" s="18" t="str">
        <f>IF(B128="","",VLOOKUP(B128,'Tabla de proceso'!$B$6:$G$28,2,))</f>
        <v/>
      </c>
      <c r="D128" s="17" t="str">
        <f>IF(B128="","",VLOOKUP(B128,'Tabla de proceso'!$B$5:$G$28,3,0))</f>
        <v/>
      </c>
      <c r="E128" s="13" t="str">
        <f t="shared" si="11"/>
        <v/>
      </c>
      <c r="F128" s="13" t="str">
        <f t="shared" si="12"/>
        <v/>
      </c>
      <c r="G128" s="13" t="str">
        <f t="shared" si="13"/>
        <v/>
      </c>
      <c r="H128" s="13" t="e">
        <f t="shared" si="14"/>
        <v>#VALUE!</v>
      </c>
      <c r="I128" s="47"/>
      <c r="J128" s="16">
        <f t="shared" si="15"/>
        <v>0</v>
      </c>
      <c r="K128" s="45" t="str">
        <f t="shared" si="16"/>
        <v>sábado</v>
      </c>
      <c r="L128" s="49"/>
      <c r="M128" s="50"/>
      <c r="N128" s="52">
        <f t="shared" si="17"/>
        <v>0</v>
      </c>
      <c r="O128" s="52">
        <f t="shared" si="18"/>
        <v>0</v>
      </c>
      <c r="P128" s="53">
        <f t="shared" si="19"/>
        <v>0</v>
      </c>
      <c r="Q128" s="54" t="str">
        <f t="shared" si="20"/>
        <v/>
      </c>
      <c r="R128" s="58" t="str">
        <f t="shared" si="21"/>
        <v/>
      </c>
      <c r="S128" s="80"/>
    </row>
    <row r="129" spans="1:19" s="44" customFormat="1">
      <c r="A129" s="15"/>
      <c r="B129" s="79"/>
      <c r="C129" s="18" t="str">
        <f>IF(B129="","",VLOOKUP(B129,'Tabla de proceso'!$B$6:$G$28,2,))</f>
        <v/>
      </c>
      <c r="D129" s="17" t="str">
        <f>IF(B129="","",VLOOKUP(B129,'Tabla de proceso'!$B$5:$G$28,3,0))</f>
        <v/>
      </c>
      <c r="E129" s="13" t="str">
        <f t="shared" si="11"/>
        <v/>
      </c>
      <c r="F129" s="13" t="str">
        <f t="shared" si="12"/>
        <v/>
      </c>
      <c r="G129" s="13" t="str">
        <f t="shared" si="13"/>
        <v/>
      </c>
      <c r="H129" s="13" t="e">
        <f t="shared" si="14"/>
        <v>#VALUE!</v>
      </c>
      <c r="I129" s="47"/>
      <c r="J129" s="16">
        <f t="shared" si="15"/>
        <v>0</v>
      </c>
      <c r="K129" s="45" t="str">
        <f t="shared" si="16"/>
        <v>sábado</v>
      </c>
      <c r="L129" s="49"/>
      <c r="M129" s="50"/>
      <c r="N129" s="52">
        <f t="shared" si="17"/>
        <v>0</v>
      </c>
      <c r="O129" s="52">
        <f t="shared" si="18"/>
        <v>0</v>
      </c>
      <c r="P129" s="53">
        <f t="shared" si="19"/>
        <v>0</v>
      </c>
      <c r="Q129" s="54" t="str">
        <f t="shared" si="20"/>
        <v/>
      </c>
      <c r="R129" s="58" t="str">
        <f t="shared" si="21"/>
        <v/>
      </c>
      <c r="S129" s="80"/>
    </row>
    <row r="130" spans="1:19" s="44" customFormat="1">
      <c r="A130" s="15"/>
      <c r="B130" s="79"/>
      <c r="C130" s="18" t="str">
        <f>IF(B130="","",VLOOKUP(B130,'Tabla de proceso'!$B$6:$G$28,2,))</f>
        <v/>
      </c>
      <c r="D130" s="17" t="str">
        <f>IF(B130="","",VLOOKUP(B130,'Tabla de proceso'!$B$5:$G$28,3,0))</f>
        <v/>
      </c>
      <c r="E130" s="13" t="str">
        <f t="shared" si="11"/>
        <v/>
      </c>
      <c r="F130" s="13" t="str">
        <f t="shared" si="12"/>
        <v/>
      </c>
      <c r="G130" s="13" t="str">
        <f t="shared" si="13"/>
        <v/>
      </c>
      <c r="H130" s="13" t="e">
        <f t="shared" si="14"/>
        <v>#VALUE!</v>
      </c>
      <c r="I130" s="47"/>
      <c r="J130" s="16">
        <f t="shared" si="15"/>
        <v>0</v>
      </c>
      <c r="K130" s="45" t="str">
        <f t="shared" si="16"/>
        <v>sábado</v>
      </c>
      <c r="L130" s="49"/>
      <c r="M130" s="50"/>
      <c r="N130" s="52">
        <f t="shared" si="17"/>
        <v>0</v>
      </c>
      <c r="O130" s="52">
        <f t="shared" si="18"/>
        <v>0</v>
      </c>
      <c r="P130" s="53">
        <f t="shared" si="19"/>
        <v>0</v>
      </c>
      <c r="Q130" s="54" t="str">
        <f t="shared" si="20"/>
        <v/>
      </c>
      <c r="R130" s="58" t="str">
        <f t="shared" si="21"/>
        <v/>
      </c>
      <c r="S130" s="80"/>
    </row>
    <row r="131" spans="1:19" s="44" customFormat="1">
      <c r="A131" s="15"/>
      <c r="B131" s="79"/>
      <c r="C131" s="18" t="str">
        <f>IF(B131="","",VLOOKUP(B131,'Tabla de proceso'!$B$6:$G$28,2,))</f>
        <v/>
      </c>
      <c r="D131" s="17" t="str">
        <f>IF(B131="","",VLOOKUP(B131,'Tabla de proceso'!$B$5:$G$28,3,0))</f>
        <v/>
      </c>
      <c r="E131" s="13" t="str">
        <f t="shared" si="11"/>
        <v/>
      </c>
      <c r="F131" s="13" t="str">
        <f t="shared" si="12"/>
        <v/>
      </c>
      <c r="G131" s="13" t="str">
        <f t="shared" si="13"/>
        <v/>
      </c>
      <c r="H131" s="13" t="e">
        <f t="shared" si="14"/>
        <v>#VALUE!</v>
      </c>
      <c r="I131" s="47"/>
      <c r="J131" s="16">
        <f t="shared" si="15"/>
        <v>0</v>
      </c>
      <c r="K131" s="45" t="str">
        <f t="shared" si="16"/>
        <v>sábado</v>
      </c>
      <c r="L131" s="49"/>
      <c r="M131" s="50"/>
      <c r="N131" s="52">
        <f t="shared" si="17"/>
        <v>0</v>
      </c>
      <c r="O131" s="52">
        <f t="shared" si="18"/>
        <v>0</v>
      </c>
      <c r="P131" s="53">
        <f t="shared" si="19"/>
        <v>0</v>
      </c>
      <c r="Q131" s="54" t="str">
        <f t="shared" si="20"/>
        <v/>
      </c>
      <c r="R131" s="58" t="str">
        <f t="shared" si="21"/>
        <v/>
      </c>
      <c r="S131" s="80"/>
    </row>
    <row r="132" spans="1:19" s="44" customFormat="1">
      <c r="A132" s="15"/>
      <c r="B132" s="79"/>
      <c r="C132" s="18" t="str">
        <f>IF(B132="","",VLOOKUP(B132,'Tabla de proceso'!$B$6:$G$28,2,))</f>
        <v/>
      </c>
      <c r="D132" s="17" t="str">
        <f>IF(B132="","",VLOOKUP(B132,'Tabla de proceso'!$B$5:$G$28,3,0))</f>
        <v/>
      </c>
      <c r="E132" s="13" t="str">
        <f t="shared" si="11"/>
        <v/>
      </c>
      <c r="F132" s="13" t="str">
        <f t="shared" si="12"/>
        <v/>
      </c>
      <c r="G132" s="13" t="str">
        <f t="shared" si="13"/>
        <v/>
      </c>
      <c r="H132" s="13" t="e">
        <f t="shared" si="14"/>
        <v>#VALUE!</v>
      </c>
      <c r="I132" s="47"/>
      <c r="J132" s="16">
        <f t="shared" si="15"/>
        <v>0</v>
      </c>
      <c r="K132" s="45" t="str">
        <f t="shared" si="16"/>
        <v>sábado</v>
      </c>
      <c r="L132" s="49"/>
      <c r="M132" s="50"/>
      <c r="N132" s="52">
        <f t="shared" si="17"/>
        <v>0</v>
      </c>
      <c r="O132" s="52">
        <f t="shared" si="18"/>
        <v>0</v>
      </c>
      <c r="P132" s="53">
        <f t="shared" si="19"/>
        <v>0</v>
      </c>
      <c r="Q132" s="54" t="str">
        <f t="shared" si="20"/>
        <v/>
      </c>
      <c r="R132" s="58" t="str">
        <f t="shared" si="21"/>
        <v/>
      </c>
      <c r="S132" s="80"/>
    </row>
    <row r="133" spans="1:19" s="44" customFormat="1">
      <c r="A133" s="15"/>
      <c r="B133" s="79"/>
      <c r="C133" s="18" t="str">
        <f>IF(B133="","",VLOOKUP(B133,'Tabla de proceso'!$B$6:$G$28,2,))</f>
        <v/>
      </c>
      <c r="D133" s="17" t="str">
        <f>IF(B133="","",VLOOKUP(B133,'Tabla de proceso'!$B$5:$G$28,3,0))</f>
        <v/>
      </c>
      <c r="E133" s="13" t="str">
        <f t="shared" si="11"/>
        <v/>
      </c>
      <c r="F133" s="13" t="str">
        <f t="shared" si="12"/>
        <v/>
      </c>
      <c r="G133" s="13" t="str">
        <f t="shared" si="13"/>
        <v/>
      </c>
      <c r="H133" s="13" t="e">
        <f t="shared" si="14"/>
        <v>#VALUE!</v>
      </c>
      <c r="I133" s="47"/>
      <c r="J133" s="16">
        <f t="shared" si="15"/>
        <v>0</v>
      </c>
      <c r="K133" s="45" t="str">
        <f t="shared" si="16"/>
        <v>sábado</v>
      </c>
      <c r="L133" s="49"/>
      <c r="M133" s="50"/>
      <c r="N133" s="52">
        <f t="shared" si="17"/>
        <v>0</v>
      </c>
      <c r="O133" s="52">
        <f t="shared" si="18"/>
        <v>0</v>
      </c>
      <c r="P133" s="53">
        <f t="shared" si="19"/>
        <v>0</v>
      </c>
      <c r="Q133" s="54" t="str">
        <f t="shared" si="20"/>
        <v/>
      </c>
      <c r="R133" s="58" t="str">
        <f t="shared" si="21"/>
        <v/>
      </c>
      <c r="S133" s="80"/>
    </row>
    <row r="134" spans="1:19" s="44" customFormat="1">
      <c r="A134" s="15"/>
      <c r="B134" s="79"/>
      <c r="C134" s="18" t="str">
        <f>IF(B134="","",VLOOKUP(B134,'Tabla de proceso'!$B$6:$G$28,2,))</f>
        <v/>
      </c>
      <c r="D134" s="17" t="str">
        <f>IF(B134="","",VLOOKUP(B134,'Tabla de proceso'!$B$5:$G$28,3,0))</f>
        <v/>
      </c>
      <c r="E134" s="13" t="str">
        <f t="shared" ref="E134:E197" si="22">D134</f>
        <v/>
      </c>
      <c r="F134" s="13" t="str">
        <f t="shared" ref="F134:F197" si="23">IF(E134="","",+$E134/9)</f>
        <v/>
      </c>
      <c r="G134" s="13" t="str">
        <f t="shared" ref="G134:G197" si="24">IF(E134="","",($E134/60)/9)</f>
        <v/>
      </c>
      <c r="H134" s="13" t="e">
        <f t="shared" ref="H134:H197" si="25">+$E134*5</f>
        <v>#VALUE!</v>
      </c>
      <c r="I134" s="47"/>
      <c r="J134" s="16">
        <f t="shared" ref="J134:J197" si="26">+WEEKNUM(I134)</f>
        <v>0</v>
      </c>
      <c r="K134" s="45" t="str">
        <f t="shared" ref="K134:K197" si="27">+TEXT($I134,"dddd")</f>
        <v>sábado</v>
      </c>
      <c r="L134" s="49"/>
      <c r="M134" s="50"/>
      <c r="N134" s="52">
        <f t="shared" ref="N134:N197" si="28">+HOUR($M134)</f>
        <v>0</v>
      </c>
      <c r="O134" s="52">
        <f t="shared" ref="O134:O197" si="29">+MINUTE($M134)</f>
        <v>0</v>
      </c>
      <c r="P134" s="53">
        <f t="shared" ref="P134:P197" si="30">+($N134*60)+$O134</f>
        <v>0</v>
      </c>
      <c r="Q134" s="54" t="str">
        <f t="shared" ref="Q134:Q197" si="31">IF(G134="","",+$G134*$P134)</f>
        <v/>
      </c>
      <c r="R134" s="58" t="str">
        <f t="shared" ref="R134:R197" si="32">IF($Q134="","",$L134/$Q134)</f>
        <v/>
      </c>
      <c r="S134" s="80"/>
    </row>
    <row r="135" spans="1:19" s="44" customFormat="1">
      <c r="A135" s="15"/>
      <c r="B135" s="79"/>
      <c r="C135" s="18" t="str">
        <f>IF(B135="","",VLOOKUP(B135,'Tabla de proceso'!$B$6:$G$28,2,))</f>
        <v/>
      </c>
      <c r="D135" s="17" t="str">
        <f>IF(B135="","",VLOOKUP(B135,'Tabla de proceso'!$B$5:$G$28,3,0))</f>
        <v/>
      </c>
      <c r="E135" s="13" t="str">
        <f t="shared" si="22"/>
        <v/>
      </c>
      <c r="F135" s="13" t="str">
        <f t="shared" si="23"/>
        <v/>
      </c>
      <c r="G135" s="13" t="str">
        <f t="shared" si="24"/>
        <v/>
      </c>
      <c r="H135" s="13" t="e">
        <f t="shared" si="25"/>
        <v>#VALUE!</v>
      </c>
      <c r="I135" s="47"/>
      <c r="J135" s="16">
        <f t="shared" si="26"/>
        <v>0</v>
      </c>
      <c r="K135" s="45" t="str">
        <f t="shared" si="27"/>
        <v>sábado</v>
      </c>
      <c r="L135" s="49"/>
      <c r="M135" s="50"/>
      <c r="N135" s="52">
        <f t="shared" si="28"/>
        <v>0</v>
      </c>
      <c r="O135" s="52">
        <f t="shared" si="29"/>
        <v>0</v>
      </c>
      <c r="P135" s="53">
        <f t="shared" si="30"/>
        <v>0</v>
      </c>
      <c r="Q135" s="54" t="str">
        <f t="shared" si="31"/>
        <v/>
      </c>
      <c r="R135" s="58" t="str">
        <f t="shared" si="32"/>
        <v/>
      </c>
      <c r="S135" s="80"/>
    </row>
    <row r="136" spans="1:19" s="44" customFormat="1">
      <c r="A136" s="15"/>
      <c r="B136" s="79"/>
      <c r="C136" s="18" t="str">
        <f>IF(B136="","",VLOOKUP(B136,'Tabla de proceso'!$B$6:$G$28,2,))</f>
        <v/>
      </c>
      <c r="D136" s="17" t="str">
        <f>IF(B136="","",VLOOKUP(B136,'Tabla de proceso'!$B$5:$G$28,3,0))</f>
        <v/>
      </c>
      <c r="E136" s="13" t="str">
        <f t="shared" si="22"/>
        <v/>
      </c>
      <c r="F136" s="13" t="str">
        <f t="shared" si="23"/>
        <v/>
      </c>
      <c r="G136" s="13" t="str">
        <f t="shared" si="24"/>
        <v/>
      </c>
      <c r="H136" s="13" t="e">
        <f t="shared" si="25"/>
        <v>#VALUE!</v>
      </c>
      <c r="I136" s="47"/>
      <c r="J136" s="16">
        <f t="shared" si="26"/>
        <v>0</v>
      </c>
      <c r="K136" s="45" t="str">
        <f t="shared" si="27"/>
        <v>sábado</v>
      </c>
      <c r="L136" s="49"/>
      <c r="M136" s="50"/>
      <c r="N136" s="52">
        <f t="shared" si="28"/>
        <v>0</v>
      </c>
      <c r="O136" s="52">
        <f t="shared" si="29"/>
        <v>0</v>
      </c>
      <c r="P136" s="53">
        <f t="shared" si="30"/>
        <v>0</v>
      </c>
      <c r="Q136" s="54" t="str">
        <f t="shared" si="31"/>
        <v/>
      </c>
      <c r="R136" s="58" t="str">
        <f t="shared" si="32"/>
        <v/>
      </c>
      <c r="S136" s="80"/>
    </row>
    <row r="137" spans="1:19" s="44" customFormat="1">
      <c r="A137" s="15"/>
      <c r="B137" s="79"/>
      <c r="C137" s="18" t="str">
        <f>IF(B137="","",VLOOKUP(B137,'Tabla de proceso'!$B$6:$G$28,2,))</f>
        <v/>
      </c>
      <c r="D137" s="17" t="str">
        <f>IF(B137="","",VLOOKUP(B137,'Tabla de proceso'!$B$5:$G$28,3,0))</f>
        <v/>
      </c>
      <c r="E137" s="13" t="str">
        <f t="shared" si="22"/>
        <v/>
      </c>
      <c r="F137" s="13" t="str">
        <f t="shared" si="23"/>
        <v/>
      </c>
      <c r="G137" s="13" t="str">
        <f t="shared" si="24"/>
        <v/>
      </c>
      <c r="H137" s="13" t="e">
        <f t="shared" si="25"/>
        <v>#VALUE!</v>
      </c>
      <c r="I137" s="47"/>
      <c r="J137" s="16">
        <f t="shared" si="26"/>
        <v>0</v>
      </c>
      <c r="K137" s="45" t="str">
        <f t="shared" si="27"/>
        <v>sábado</v>
      </c>
      <c r="L137" s="49"/>
      <c r="M137" s="50"/>
      <c r="N137" s="52">
        <f t="shared" si="28"/>
        <v>0</v>
      </c>
      <c r="O137" s="52">
        <f t="shared" si="29"/>
        <v>0</v>
      </c>
      <c r="P137" s="53">
        <f t="shared" si="30"/>
        <v>0</v>
      </c>
      <c r="Q137" s="54" t="str">
        <f t="shared" si="31"/>
        <v/>
      </c>
      <c r="R137" s="58" t="str">
        <f t="shared" si="32"/>
        <v/>
      </c>
      <c r="S137" s="80"/>
    </row>
    <row r="138" spans="1:19" s="44" customFormat="1">
      <c r="A138" s="15"/>
      <c r="B138" s="79"/>
      <c r="C138" s="18" t="str">
        <f>IF(B138="","",VLOOKUP(B138,'Tabla de proceso'!$B$6:$G$28,2,))</f>
        <v/>
      </c>
      <c r="D138" s="17" t="str">
        <f>IF(B138="","",VLOOKUP(B138,'Tabla de proceso'!$B$5:$G$28,3,0))</f>
        <v/>
      </c>
      <c r="E138" s="13" t="str">
        <f t="shared" si="22"/>
        <v/>
      </c>
      <c r="F138" s="13" t="str">
        <f t="shared" si="23"/>
        <v/>
      </c>
      <c r="G138" s="13" t="str">
        <f t="shared" si="24"/>
        <v/>
      </c>
      <c r="H138" s="13" t="e">
        <f t="shared" si="25"/>
        <v>#VALUE!</v>
      </c>
      <c r="I138" s="47"/>
      <c r="J138" s="16">
        <f t="shared" si="26"/>
        <v>0</v>
      </c>
      <c r="K138" s="45" t="str">
        <f t="shared" si="27"/>
        <v>sábado</v>
      </c>
      <c r="L138" s="49"/>
      <c r="M138" s="50"/>
      <c r="N138" s="52">
        <f t="shared" si="28"/>
        <v>0</v>
      </c>
      <c r="O138" s="52">
        <f t="shared" si="29"/>
        <v>0</v>
      </c>
      <c r="P138" s="53">
        <f t="shared" si="30"/>
        <v>0</v>
      </c>
      <c r="Q138" s="54" t="str">
        <f t="shared" si="31"/>
        <v/>
      </c>
      <c r="R138" s="58" t="str">
        <f t="shared" si="32"/>
        <v/>
      </c>
      <c r="S138" s="80"/>
    </row>
    <row r="139" spans="1:19" s="44" customFormat="1">
      <c r="A139" s="15"/>
      <c r="B139" s="79"/>
      <c r="C139" s="18" t="str">
        <f>IF(B139="","",VLOOKUP(B139,'Tabla de proceso'!$B$6:$G$28,2,))</f>
        <v/>
      </c>
      <c r="D139" s="17" t="str">
        <f>IF(B139="","",VLOOKUP(B139,'Tabla de proceso'!$B$5:$G$28,3,0))</f>
        <v/>
      </c>
      <c r="E139" s="13" t="str">
        <f t="shared" si="22"/>
        <v/>
      </c>
      <c r="F139" s="13" t="str">
        <f t="shared" si="23"/>
        <v/>
      </c>
      <c r="G139" s="13" t="str">
        <f t="shared" si="24"/>
        <v/>
      </c>
      <c r="H139" s="13" t="e">
        <f t="shared" si="25"/>
        <v>#VALUE!</v>
      </c>
      <c r="I139" s="47"/>
      <c r="J139" s="16">
        <f t="shared" si="26"/>
        <v>0</v>
      </c>
      <c r="K139" s="45" t="str">
        <f t="shared" si="27"/>
        <v>sábado</v>
      </c>
      <c r="L139" s="49"/>
      <c r="M139" s="50"/>
      <c r="N139" s="52">
        <f t="shared" si="28"/>
        <v>0</v>
      </c>
      <c r="O139" s="52">
        <f t="shared" si="29"/>
        <v>0</v>
      </c>
      <c r="P139" s="53">
        <f t="shared" si="30"/>
        <v>0</v>
      </c>
      <c r="Q139" s="54" t="str">
        <f t="shared" si="31"/>
        <v/>
      </c>
      <c r="R139" s="58" t="str">
        <f t="shared" si="32"/>
        <v/>
      </c>
      <c r="S139" s="80"/>
    </row>
    <row r="140" spans="1:19" s="44" customFormat="1">
      <c r="A140" s="15"/>
      <c r="B140" s="79"/>
      <c r="C140" s="18" t="str">
        <f>IF(B140="","",VLOOKUP(B140,'Tabla de proceso'!$B$6:$G$28,2,))</f>
        <v/>
      </c>
      <c r="D140" s="17" t="str">
        <f>IF(B140="","",VLOOKUP(B140,'Tabla de proceso'!$B$5:$G$28,3,0))</f>
        <v/>
      </c>
      <c r="E140" s="13" t="str">
        <f t="shared" si="22"/>
        <v/>
      </c>
      <c r="F140" s="13" t="str">
        <f t="shared" si="23"/>
        <v/>
      </c>
      <c r="G140" s="13" t="str">
        <f t="shared" si="24"/>
        <v/>
      </c>
      <c r="H140" s="13" t="e">
        <f t="shared" si="25"/>
        <v>#VALUE!</v>
      </c>
      <c r="I140" s="47"/>
      <c r="J140" s="16">
        <f t="shared" si="26"/>
        <v>0</v>
      </c>
      <c r="K140" s="45" t="str">
        <f t="shared" si="27"/>
        <v>sábado</v>
      </c>
      <c r="L140" s="49"/>
      <c r="M140" s="50"/>
      <c r="N140" s="52">
        <f t="shared" si="28"/>
        <v>0</v>
      </c>
      <c r="O140" s="52">
        <f t="shared" si="29"/>
        <v>0</v>
      </c>
      <c r="P140" s="53">
        <f t="shared" si="30"/>
        <v>0</v>
      </c>
      <c r="Q140" s="54" t="str">
        <f t="shared" si="31"/>
        <v/>
      </c>
      <c r="R140" s="58" t="str">
        <f t="shared" si="32"/>
        <v/>
      </c>
      <c r="S140" s="80"/>
    </row>
    <row r="141" spans="1:19" s="44" customFormat="1">
      <c r="A141" s="15"/>
      <c r="B141" s="79"/>
      <c r="C141" s="18" t="str">
        <f>IF(B141="","",VLOOKUP(B141,'Tabla de proceso'!$B$6:$G$28,2,))</f>
        <v/>
      </c>
      <c r="D141" s="17" t="str">
        <f>IF(B141="","",VLOOKUP(B141,'Tabla de proceso'!$B$5:$G$28,3,0))</f>
        <v/>
      </c>
      <c r="E141" s="13" t="str">
        <f t="shared" si="22"/>
        <v/>
      </c>
      <c r="F141" s="13" t="str">
        <f t="shared" si="23"/>
        <v/>
      </c>
      <c r="G141" s="13" t="str">
        <f t="shared" si="24"/>
        <v/>
      </c>
      <c r="H141" s="13" t="e">
        <f t="shared" si="25"/>
        <v>#VALUE!</v>
      </c>
      <c r="I141" s="47"/>
      <c r="J141" s="16">
        <f t="shared" si="26"/>
        <v>0</v>
      </c>
      <c r="K141" s="45" t="str">
        <f t="shared" si="27"/>
        <v>sábado</v>
      </c>
      <c r="L141" s="49"/>
      <c r="M141" s="50"/>
      <c r="N141" s="52">
        <f t="shared" si="28"/>
        <v>0</v>
      </c>
      <c r="O141" s="52">
        <f t="shared" si="29"/>
        <v>0</v>
      </c>
      <c r="P141" s="53">
        <f t="shared" si="30"/>
        <v>0</v>
      </c>
      <c r="Q141" s="54" t="str">
        <f t="shared" si="31"/>
        <v/>
      </c>
      <c r="R141" s="58" t="str">
        <f t="shared" si="32"/>
        <v/>
      </c>
      <c r="S141" s="80"/>
    </row>
    <row r="142" spans="1:19" s="44" customFormat="1">
      <c r="A142" s="15"/>
      <c r="B142" s="79"/>
      <c r="C142" s="18" t="str">
        <f>IF(B142="","",VLOOKUP(B142,'Tabla de proceso'!$B$6:$G$28,2,))</f>
        <v/>
      </c>
      <c r="D142" s="17" t="str">
        <f>IF(B142="","",VLOOKUP(B142,'Tabla de proceso'!$B$5:$G$28,3,0))</f>
        <v/>
      </c>
      <c r="E142" s="13" t="str">
        <f t="shared" si="22"/>
        <v/>
      </c>
      <c r="F142" s="13" t="str">
        <f t="shared" si="23"/>
        <v/>
      </c>
      <c r="G142" s="13" t="str">
        <f t="shared" si="24"/>
        <v/>
      </c>
      <c r="H142" s="13" t="e">
        <f t="shared" si="25"/>
        <v>#VALUE!</v>
      </c>
      <c r="I142" s="47"/>
      <c r="J142" s="16">
        <f t="shared" si="26"/>
        <v>0</v>
      </c>
      <c r="K142" s="45" t="str">
        <f t="shared" si="27"/>
        <v>sábado</v>
      </c>
      <c r="L142" s="49"/>
      <c r="M142" s="50"/>
      <c r="N142" s="52">
        <f t="shared" si="28"/>
        <v>0</v>
      </c>
      <c r="O142" s="52">
        <f t="shared" si="29"/>
        <v>0</v>
      </c>
      <c r="P142" s="53">
        <f t="shared" si="30"/>
        <v>0</v>
      </c>
      <c r="Q142" s="54" t="str">
        <f t="shared" si="31"/>
        <v/>
      </c>
      <c r="R142" s="58" t="str">
        <f t="shared" si="32"/>
        <v/>
      </c>
      <c r="S142" s="80"/>
    </row>
    <row r="143" spans="1:19" s="44" customFormat="1">
      <c r="A143" s="15"/>
      <c r="B143" s="79"/>
      <c r="C143" s="18" t="str">
        <f>IF(B143="","",VLOOKUP(B143,'Tabla de proceso'!$B$6:$G$28,2,))</f>
        <v/>
      </c>
      <c r="D143" s="17" t="str">
        <f>IF(B143="","",VLOOKUP(B143,'Tabla de proceso'!$B$5:$G$28,3,0))</f>
        <v/>
      </c>
      <c r="E143" s="13" t="str">
        <f t="shared" si="22"/>
        <v/>
      </c>
      <c r="F143" s="13" t="str">
        <f t="shared" si="23"/>
        <v/>
      </c>
      <c r="G143" s="13" t="str">
        <f t="shared" si="24"/>
        <v/>
      </c>
      <c r="H143" s="13" t="e">
        <f t="shared" si="25"/>
        <v>#VALUE!</v>
      </c>
      <c r="I143" s="47"/>
      <c r="J143" s="16">
        <f t="shared" si="26"/>
        <v>0</v>
      </c>
      <c r="K143" s="45" t="str">
        <f t="shared" si="27"/>
        <v>sábado</v>
      </c>
      <c r="L143" s="49"/>
      <c r="M143" s="50"/>
      <c r="N143" s="52">
        <f t="shared" si="28"/>
        <v>0</v>
      </c>
      <c r="O143" s="52">
        <f t="shared" si="29"/>
        <v>0</v>
      </c>
      <c r="P143" s="53">
        <f t="shared" si="30"/>
        <v>0</v>
      </c>
      <c r="Q143" s="54" t="str">
        <f t="shared" si="31"/>
        <v/>
      </c>
      <c r="R143" s="58" t="str">
        <f t="shared" si="32"/>
        <v/>
      </c>
      <c r="S143" s="80"/>
    </row>
    <row r="144" spans="1:19" s="44" customFormat="1">
      <c r="A144" s="15"/>
      <c r="B144" s="79"/>
      <c r="C144" s="18" t="str">
        <f>IF(B144="","",VLOOKUP(B144,'Tabla de proceso'!$B$6:$G$28,2,))</f>
        <v/>
      </c>
      <c r="D144" s="17" t="str">
        <f>IF(B144="","",VLOOKUP(B144,'Tabla de proceso'!$B$5:$G$28,3,0))</f>
        <v/>
      </c>
      <c r="E144" s="13" t="str">
        <f t="shared" si="22"/>
        <v/>
      </c>
      <c r="F144" s="13" t="str">
        <f t="shared" si="23"/>
        <v/>
      </c>
      <c r="G144" s="13" t="str">
        <f t="shared" si="24"/>
        <v/>
      </c>
      <c r="H144" s="13" t="e">
        <f t="shared" si="25"/>
        <v>#VALUE!</v>
      </c>
      <c r="I144" s="47"/>
      <c r="J144" s="16">
        <f t="shared" si="26"/>
        <v>0</v>
      </c>
      <c r="K144" s="45" t="str">
        <f t="shared" si="27"/>
        <v>sábado</v>
      </c>
      <c r="L144" s="49"/>
      <c r="M144" s="50"/>
      <c r="N144" s="52">
        <f t="shared" si="28"/>
        <v>0</v>
      </c>
      <c r="O144" s="52">
        <f t="shared" si="29"/>
        <v>0</v>
      </c>
      <c r="P144" s="53">
        <f t="shared" si="30"/>
        <v>0</v>
      </c>
      <c r="Q144" s="54" t="str">
        <f t="shared" si="31"/>
        <v/>
      </c>
      <c r="R144" s="58" t="str">
        <f t="shared" si="32"/>
        <v/>
      </c>
      <c r="S144" s="80"/>
    </row>
    <row r="145" spans="1:19" s="44" customFormat="1">
      <c r="A145" s="15"/>
      <c r="B145" s="79"/>
      <c r="C145" s="18" t="str">
        <f>IF(B145="","",VLOOKUP(B145,'Tabla de proceso'!$B$6:$G$28,2,))</f>
        <v/>
      </c>
      <c r="D145" s="17" t="str">
        <f>IF(B145="","",VLOOKUP(B145,'Tabla de proceso'!$B$5:$G$28,3,0))</f>
        <v/>
      </c>
      <c r="E145" s="13" t="str">
        <f t="shared" si="22"/>
        <v/>
      </c>
      <c r="F145" s="13" t="str">
        <f t="shared" si="23"/>
        <v/>
      </c>
      <c r="G145" s="13" t="str">
        <f t="shared" si="24"/>
        <v/>
      </c>
      <c r="H145" s="13" t="e">
        <f t="shared" si="25"/>
        <v>#VALUE!</v>
      </c>
      <c r="I145" s="47"/>
      <c r="J145" s="16">
        <f t="shared" si="26"/>
        <v>0</v>
      </c>
      <c r="K145" s="45" t="str">
        <f t="shared" si="27"/>
        <v>sábado</v>
      </c>
      <c r="L145" s="49"/>
      <c r="M145" s="50"/>
      <c r="N145" s="52">
        <f t="shared" si="28"/>
        <v>0</v>
      </c>
      <c r="O145" s="52">
        <f t="shared" si="29"/>
        <v>0</v>
      </c>
      <c r="P145" s="53">
        <f t="shared" si="30"/>
        <v>0</v>
      </c>
      <c r="Q145" s="54" t="str">
        <f t="shared" si="31"/>
        <v/>
      </c>
      <c r="R145" s="58" t="str">
        <f t="shared" si="32"/>
        <v/>
      </c>
      <c r="S145" s="80"/>
    </row>
    <row r="146" spans="1:19" s="44" customFormat="1">
      <c r="A146" s="15"/>
      <c r="B146" s="79"/>
      <c r="C146" s="18" t="str">
        <f>IF(B146="","",VLOOKUP(B146,'Tabla de proceso'!$B$6:$G$28,2,))</f>
        <v/>
      </c>
      <c r="D146" s="17" t="str">
        <f>IF(B146="","",VLOOKUP(B146,'Tabla de proceso'!$B$5:$G$28,3,0))</f>
        <v/>
      </c>
      <c r="E146" s="13" t="str">
        <f t="shared" si="22"/>
        <v/>
      </c>
      <c r="F146" s="13" t="str">
        <f t="shared" si="23"/>
        <v/>
      </c>
      <c r="G146" s="13" t="str">
        <f t="shared" si="24"/>
        <v/>
      </c>
      <c r="H146" s="13" t="e">
        <f t="shared" si="25"/>
        <v>#VALUE!</v>
      </c>
      <c r="I146" s="47"/>
      <c r="J146" s="16">
        <f t="shared" si="26"/>
        <v>0</v>
      </c>
      <c r="K146" s="45" t="str">
        <f t="shared" si="27"/>
        <v>sábado</v>
      </c>
      <c r="L146" s="49"/>
      <c r="M146" s="50"/>
      <c r="N146" s="52">
        <f t="shared" si="28"/>
        <v>0</v>
      </c>
      <c r="O146" s="52">
        <f t="shared" si="29"/>
        <v>0</v>
      </c>
      <c r="P146" s="53">
        <f t="shared" si="30"/>
        <v>0</v>
      </c>
      <c r="Q146" s="54" t="str">
        <f t="shared" si="31"/>
        <v/>
      </c>
      <c r="R146" s="58" t="str">
        <f t="shared" si="32"/>
        <v/>
      </c>
      <c r="S146" s="80"/>
    </row>
    <row r="147" spans="1:19" s="44" customFormat="1">
      <c r="A147" s="15"/>
      <c r="B147" s="79"/>
      <c r="C147" s="18" t="str">
        <f>IF(B147="","",VLOOKUP(B147,'Tabla de proceso'!$B$6:$G$28,2,))</f>
        <v/>
      </c>
      <c r="D147" s="17" t="str">
        <f>IF(B147="","",VLOOKUP(B147,'Tabla de proceso'!$B$5:$G$28,3,0))</f>
        <v/>
      </c>
      <c r="E147" s="13" t="str">
        <f t="shared" si="22"/>
        <v/>
      </c>
      <c r="F147" s="13" t="str">
        <f t="shared" si="23"/>
        <v/>
      </c>
      <c r="G147" s="13" t="str">
        <f t="shared" si="24"/>
        <v/>
      </c>
      <c r="H147" s="13" t="e">
        <f t="shared" si="25"/>
        <v>#VALUE!</v>
      </c>
      <c r="I147" s="47"/>
      <c r="J147" s="16">
        <f t="shared" si="26"/>
        <v>0</v>
      </c>
      <c r="K147" s="45" t="str">
        <f t="shared" si="27"/>
        <v>sábado</v>
      </c>
      <c r="L147" s="49"/>
      <c r="M147" s="50"/>
      <c r="N147" s="52">
        <f t="shared" si="28"/>
        <v>0</v>
      </c>
      <c r="O147" s="52">
        <f t="shared" si="29"/>
        <v>0</v>
      </c>
      <c r="P147" s="53">
        <f t="shared" si="30"/>
        <v>0</v>
      </c>
      <c r="Q147" s="54" t="str">
        <f t="shared" si="31"/>
        <v/>
      </c>
      <c r="R147" s="58" t="str">
        <f t="shared" si="32"/>
        <v/>
      </c>
      <c r="S147" s="80"/>
    </row>
    <row r="148" spans="1:19" s="44" customFormat="1">
      <c r="A148" s="15"/>
      <c r="B148" s="79"/>
      <c r="C148" s="18" t="str">
        <f>IF(B148="","",VLOOKUP(B148,'Tabla de proceso'!$B$6:$G$28,2,))</f>
        <v/>
      </c>
      <c r="D148" s="17" t="str">
        <f>IF(B148="","",VLOOKUP(B148,'Tabla de proceso'!$B$5:$G$28,3,0))</f>
        <v/>
      </c>
      <c r="E148" s="13" t="str">
        <f t="shared" si="22"/>
        <v/>
      </c>
      <c r="F148" s="13" t="str">
        <f t="shared" si="23"/>
        <v/>
      </c>
      <c r="G148" s="13" t="str">
        <f t="shared" si="24"/>
        <v/>
      </c>
      <c r="H148" s="13" t="e">
        <f t="shared" si="25"/>
        <v>#VALUE!</v>
      </c>
      <c r="I148" s="47"/>
      <c r="J148" s="16">
        <f t="shared" si="26"/>
        <v>0</v>
      </c>
      <c r="K148" s="45" t="str">
        <f t="shared" si="27"/>
        <v>sábado</v>
      </c>
      <c r="L148" s="49"/>
      <c r="M148" s="50"/>
      <c r="N148" s="52">
        <f t="shared" si="28"/>
        <v>0</v>
      </c>
      <c r="O148" s="52">
        <f t="shared" si="29"/>
        <v>0</v>
      </c>
      <c r="P148" s="53">
        <f t="shared" si="30"/>
        <v>0</v>
      </c>
      <c r="Q148" s="54" t="str">
        <f t="shared" si="31"/>
        <v/>
      </c>
      <c r="R148" s="58" t="str">
        <f t="shared" si="32"/>
        <v/>
      </c>
      <c r="S148" s="80"/>
    </row>
    <row r="149" spans="1:19" s="44" customFormat="1">
      <c r="A149" s="15"/>
      <c r="B149" s="79"/>
      <c r="C149" s="18" t="str">
        <f>IF(B149="","",VLOOKUP(B149,'Tabla de proceso'!$B$6:$G$28,2,))</f>
        <v/>
      </c>
      <c r="D149" s="17" t="str">
        <f>IF(B149="","",VLOOKUP(B149,'Tabla de proceso'!$B$5:$G$28,3,0))</f>
        <v/>
      </c>
      <c r="E149" s="13" t="str">
        <f t="shared" si="22"/>
        <v/>
      </c>
      <c r="F149" s="13" t="str">
        <f t="shared" si="23"/>
        <v/>
      </c>
      <c r="G149" s="13" t="str">
        <f t="shared" si="24"/>
        <v/>
      </c>
      <c r="H149" s="13" t="e">
        <f t="shared" si="25"/>
        <v>#VALUE!</v>
      </c>
      <c r="I149" s="47"/>
      <c r="J149" s="16">
        <f t="shared" si="26"/>
        <v>0</v>
      </c>
      <c r="K149" s="45" t="str">
        <f t="shared" si="27"/>
        <v>sábado</v>
      </c>
      <c r="L149" s="49"/>
      <c r="M149" s="50"/>
      <c r="N149" s="52">
        <f t="shared" si="28"/>
        <v>0</v>
      </c>
      <c r="O149" s="52">
        <f t="shared" si="29"/>
        <v>0</v>
      </c>
      <c r="P149" s="53">
        <f t="shared" si="30"/>
        <v>0</v>
      </c>
      <c r="Q149" s="54" t="str">
        <f t="shared" si="31"/>
        <v/>
      </c>
      <c r="R149" s="58" t="str">
        <f t="shared" si="32"/>
        <v/>
      </c>
      <c r="S149" s="80"/>
    </row>
    <row r="150" spans="1:19" s="44" customFormat="1">
      <c r="A150" s="15"/>
      <c r="B150" s="79"/>
      <c r="C150" s="18" t="str">
        <f>IF(B150="","",VLOOKUP(B150,'Tabla de proceso'!$B$6:$G$28,2,))</f>
        <v/>
      </c>
      <c r="D150" s="17" t="str">
        <f>IF(B150="","",VLOOKUP(B150,'Tabla de proceso'!$B$5:$G$28,3,0))</f>
        <v/>
      </c>
      <c r="E150" s="13" t="str">
        <f t="shared" si="22"/>
        <v/>
      </c>
      <c r="F150" s="13" t="str">
        <f t="shared" si="23"/>
        <v/>
      </c>
      <c r="G150" s="13" t="str">
        <f t="shared" si="24"/>
        <v/>
      </c>
      <c r="H150" s="13" t="e">
        <f t="shared" si="25"/>
        <v>#VALUE!</v>
      </c>
      <c r="I150" s="47"/>
      <c r="J150" s="16">
        <f t="shared" si="26"/>
        <v>0</v>
      </c>
      <c r="K150" s="45" t="str">
        <f t="shared" si="27"/>
        <v>sábado</v>
      </c>
      <c r="L150" s="49"/>
      <c r="M150" s="50"/>
      <c r="N150" s="52">
        <f t="shared" si="28"/>
        <v>0</v>
      </c>
      <c r="O150" s="52">
        <f t="shared" si="29"/>
        <v>0</v>
      </c>
      <c r="P150" s="53">
        <f t="shared" si="30"/>
        <v>0</v>
      </c>
      <c r="Q150" s="54" t="str">
        <f t="shared" si="31"/>
        <v/>
      </c>
      <c r="R150" s="58" t="str">
        <f t="shared" si="32"/>
        <v/>
      </c>
      <c r="S150" s="80"/>
    </row>
    <row r="151" spans="1:19" s="44" customFormat="1">
      <c r="A151" s="15"/>
      <c r="B151" s="79"/>
      <c r="C151" s="18" t="str">
        <f>IF(B151="","",VLOOKUP(B151,'Tabla de proceso'!$B$6:$G$28,2,))</f>
        <v/>
      </c>
      <c r="D151" s="17" t="str">
        <f>IF(B151="","",VLOOKUP(B151,'Tabla de proceso'!$B$5:$G$28,3,0))</f>
        <v/>
      </c>
      <c r="E151" s="13" t="str">
        <f t="shared" si="22"/>
        <v/>
      </c>
      <c r="F151" s="13" t="str">
        <f t="shared" si="23"/>
        <v/>
      </c>
      <c r="G151" s="13" t="str">
        <f t="shared" si="24"/>
        <v/>
      </c>
      <c r="H151" s="13" t="e">
        <f t="shared" si="25"/>
        <v>#VALUE!</v>
      </c>
      <c r="I151" s="47"/>
      <c r="J151" s="16">
        <f t="shared" si="26"/>
        <v>0</v>
      </c>
      <c r="K151" s="45" t="str">
        <f t="shared" si="27"/>
        <v>sábado</v>
      </c>
      <c r="L151" s="49"/>
      <c r="M151" s="50"/>
      <c r="N151" s="52">
        <f t="shared" si="28"/>
        <v>0</v>
      </c>
      <c r="O151" s="52">
        <f t="shared" si="29"/>
        <v>0</v>
      </c>
      <c r="P151" s="53">
        <f t="shared" si="30"/>
        <v>0</v>
      </c>
      <c r="Q151" s="54" t="str">
        <f t="shared" si="31"/>
        <v/>
      </c>
      <c r="R151" s="58" t="str">
        <f t="shared" si="32"/>
        <v/>
      </c>
      <c r="S151" s="80"/>
    </row>
    <row r="152" spans="1:19" s="44" customFormat="1">
      <c r="A152" s="15"/>
      <c r="B152" s="79"/>
      <c r="C152" s="18" t="str">
        <f>IF(B152="","",VLOOKUP(B152,'Tabla de proceso'!$B$6:$G$28,2,))</f>
        <v/>
      </c>
      <c r="D152" s="17" t="str">
        <f>IF(B152="","",VLOOKUP(B152,'Tabla de proceso'!$B$5:$G$28,3,0))</f>
        <v/>
      </c>
      <c r="E152" s="13" t="str">
        <f t="shared" si="22"/>
        <v/>
      </c>
      <c r="F152" s="13" t="str">
        <f t="shared" si="23"/>
        <v/>
      </c>
      <c r="G152" s="13" t="str">
        <f t="shared" si="24"/>
        <v/>
      </c>
      <c r="H152" s="13" t="e">
        <f t="shared" si="25"/>
        <v>#VALUE!</v>
      </c>
      <c r="I152" s="47"/>
      <c r="J152" s="16">
        <f t="shared" si="26"/>
        <v>0</v>
      </c>
      <c r="K152" s="45" t="str">
        <f t="shared" si="27"/>
        <v>sábado</v>
      </c>
      <c r="L152" s="49"/>
      <c r="M152" s="50"/>
      <c r="N152" s="52">
        <f t="shared" si="28"/>
        <v>0</v>
      </c>
      <c r="O152" s="52">
        <f t="shared" si="29"/>
        <v>0</v>
      </c>
      <c r="P152" s="53">
        <f t="shared" si="30"/>
        <v>0</v>
      </c>
      <c r="Q152" s="54" t="str">
        <f t="shared" si="31"/>
        <v/>
      </c>
      <c r="R152" s="58" t="str">
        <f t="shared" si="32"/>
        <v/>
      </c>
      <c r="S152" s="80"/>
    </row>
    <row r="153" spans="1:19" s="44" customFormat="1">
      <c r="A153" s="15"/>
      <c r="B153" s="79"/>
      <c r="C153" s="18" t="str">
        <f>IF(B153="","",VLOOKUP(B153,'Tabla de proceso'!$B$6:$G$28,2,))</f>
        <v/>
      </c>
      <c r="D153" s="17" t="str">
        <f>IF(B153="","",VLOOKUP(B153,'Tabla de proceso'!$B$5:$G$28,3,0))</f>
        <v/>
      </c>
      <c r="E153" s="13" t="str">
        <f t="shared" si="22"/>
        <v/>
      </c>
      <c r="F153" s="13" t="str">
        <f t="shared" si="23"/>
        <v/>
      </c>
      <c r="G153" s="13" t="str">
        <f t="shared" si="24"/>
        <v/>
      </c>
      <c r="H153" s="13" t="e">
        <f t="shared" si="25"/>
        <v>#VALUE!</v>
      </c>
      <c r="I153" s="47"/>
      <c r="J153" s="16">
        <f t="shared" si="26"/>
        <v>0</v>
      </c>
      <c r="K153" s="45" t="str">
        <f t="shared" si="27"/>
        <v>sábado</v>
      </c>
      <c r="L153" s="49"/>
      <c r="M153" s="50"/>
      <c r="N153" s="52">
        <f t="shared" si="28"/>
        <v>0</v>
      </c>
      <c r="O153" s="52">
        <f t="shared" si="29"/>
        <v>0</v>
      </c>
      <c r="P153" s="53">
        <f t="shared" si="30"/>
        <v>0</v>
      </c>
      <c r="Q153" s="54" t="str">
        <f t="shared" si="31"/>
        <v/>
      </c>
      <c r="R153" s="58" t="str">
        <f t="shared" si="32"/>
        <v/>
      </c>
      <c r="S153" s="80"/>
    </row>
    <row r="154" spans="1:19" s="44" customFormat="1">
      <c r="A154" s="15"/>
      <c r="B154" s="79"/>
      <c r="C154" s="18" t="str">
        <f>IF(B154="","",VLOOKUP(B154,'Tabla de proceso'!$B$6:$G$28,2,))</f>
        <v/>
      </c>
      <c r="D154" s="17" t="str">
        <f>IF(B154="","",VLOOKUP(B154,'Tabla de proceso'!$B$5:$G$28,3,0))</f>
        <v/>
      </c>
      <c r="E154" s="13" t="str">
        <f t="shared" si="22"/>
        <v/>
      </c>
      <c r="F154" s="13" t="str">
        <f t="shared" si="23"/>
        <v/>
      </c>
      <c r="G154" s="13" t="str">
        <f t="shared" si="24"/>
        <v/>
      </c>
      <c r="H154" s="13" t="e">
        <f t="shared" si="25"/>
        <v>#VALUE!</v>
      </c>
      <c r="I154" s="47"/>
      <c r="J154" s="16">
        <f t="shared" si="26"/>
        <v>0</v>
      </c>
      <c r="K154" s="45" t="str">
        <f t="shared" si="27"/>
        <v>sábado</v>
      </c>
      <c r="L154" s="49"/>
      <c r="M154" s="50"/>
      <c r="N154" s="52">
        <f t="shared" si="28"/>
        <v>0</v>
      </c>
      <c r="O154" s="52">
        <f t="shared" si="29"/>
        <v>0</v>
      </c>
      <c r="P154" s="53">
        <f t="shared" si="30"/>
        <v>0</v>
      </c>
      <c r="Q154" s="54" t="str">
        <f t="shared" si="31"/>
        <v/>
      </c>
      <c r="R154" s="58" t="str">
        <f t="shared" si="32"/>
        <v/>
      </c>
      <c r="S154" s="80"/>
    </row>
    <row r="155" spans="1:19" s="44" customFormat="1">
      <c r="A155" s="15"/>
      <c r="B155" s="79"/>
      <c r="C155" s="18" t="str">
        <f>IF(B155="","",VLOOKUP(B155,'Tabla de proceso'!$B$6:$G$28,2,))</f>
        <v/>
      </c>
      <c r="D155" s="17" t="str">
        <f>IF(B155="","",VLOOKUP(B155,'Tabla de proceso'!$B$5:$G$28,3,0))</f>
        <v/>
      </c>
      <c r="E155" s="13" t="str">
        <f t="shared" si="22"/>
        <v/>
      </c>
      <c r="F155" s="13" t="str">
        <f t="shared" si="23"/>
        <v/>
      </c>
      <c r="G155" s="13" t="str">
        <f t="shared" si="24"/>
        <v/>
      </c>
      <c r="H155" s="13" t="e">
        <f t="shared" si="25"/>
        <v>#VALUE!</v>
      </c>
      <c r="I155" s="47"/>
      <c r="J155" s="16">
        <f t="shared" si="26"/>
        <v>0</v>
      </c>
      <c r="K155" s="45" t="str">
        <f t="shared" si="27"/>
        <v>sábado</v>
      </c>
      <c r="L155" s="49"/>
      <c r="M155" s="50"/>
      <c r="N155" s="52">
        <f t="shared" si="28"/>
        <v>0</v>
      </c>
      <c r="O155" s="52">
        <f t="shared" si="29"/>
        <v>0</v>
      </c>
      <c r="P155" s="53">
        <f t="shared" si="30"/>
        <v>0</v>
      </c>
      <c r="Q155" s="54" t="str">
        <f t="shared" si="31"/>
        <v/>
      </c>
      <c r="R155" s="58" t="str">
        <f t="shared" si="32"/>
        <v/>
      </c>
      <c r="S155" s="80"/>
    </row>
    <row r="156" spans="1:19" s="44" customFormat="1">
      <c r="A156" s="15"/>
      <c r="B156" s="79"/>
      <c r="C156" s="18" t="str">
        <f>IF(B156="","",VLOOKUP(B156,'Tabla de proceso'!$B$6:$G$28,2,))</f>
        <v/>
      </c>
      <c r="D156" s="17" t="str">
        <f>IF(B156="","",VLOOKUP(B156,'Tabla de proceso'!$B$5:$G$28,3,0))</f>
        <v/>
      </c>
      <c r="E156" s="13" t="str">
        <f t="shared" si="22"/>
        <v/>
      </c>
      <c r="F156" s="13" t="str">
        <f t="shared" si="23"/>
        <v/>
      </c>
      <c r="G156" s="13" t="str">
        <f t="shared" si="24"/>
        <v/>
      </c>
      <c r="H156" s="13" t="e">
        <f t="shared" si="25"/>
        <v>#VALUE!</v>
      </c>
      <c r="I156" s="47"/>
      <c r="J156" s="16">
        <f t="shared" si="26"/>
        <v>0</v>
      </c>
      <c r="K156" s="45" t="str">
        <f t="shared" si="27"/>
        <v>sábado</v>
      </c>
      <c r="L156" s="49"/>
      <c r="M156" s="50"/>
      <c r="N156" s="52">
        <f t="shared" si="28"/>
        <v>0</v>
      </c>
      <c r="O156" s="52">
        <f t="shared" si="29"/>
        <v>0</v>
      </c>
      <c r="P156" s="53">
        <f t="shared" si="30"/>
        <v>0</v>
      </c>
      <c r="Q156" s="54" t="str">
        <f t="shared" si="31"/>
        <v/>
      </c>
      <c r="R156" s="58" t="str">
        <f t="shared" si="32"/>
        <v/>
      </c>
      <c r="S156" s="80"/>
    </row>
    <row r="157" spans="1:19" s="44" customFormat="1">
      <c r="A157" s="15"/>
      <c r="B157" s="79"/>
      <c r="C157" s="18" t="str">
        <f>IF(B157="","",VLOOKUP(B157,'Tabla de proceso'!$B$6:$G$28,2,))</f>
        <v/>
      </c>
      <c r="D157" s="17" t="str">
        <f>IF(B157="","",VLOOKUP(B157,'Tabla de proceso'!$B$5:$G$28,3,0))</f>
        <v/>
      </c>
      <c r="E157" s="13" t="str">
        <f t="shared" si="22"/>
        <v/>
      </c>
      <c r="F157" s="13" t="str">
        <f t="shared" si="23"/>
        <v/>
      </c>
      <c r="G157" s="13" t="str">
        <f t="shared" si="24"/>
        <v/>
      </c>
      <c r="H157" s="13" t="e">
        <f t="shared" si="25"/>
        <v>#VALUE!</v>
      </c>
      <c r="I157" s="47"/>
      <c r="J157" s="16">
        <f t="shared" si="26"/>
        <v>0</v>
      </c>
      <c r="K157" s="45" t="str">
        <f t="shared" si="27"/>
        <v>sábado</v>
      </c>
      <c r="L157" s="49"/>
      <c r="M157" s="50"/>
      <c r="N157" s="52">
        <f t="shared" si="28"/>
        <v>0</v>
      </c>
      <c r="O157" s="52">
        <f t="shared" si="29"/>
        <v>0</v>
      </c>
      <c r="P157" s="53">
        <f t="shared" si="30"/>
        <v>0</v>
      </c>
      <c r="Q157" s="54" t="str">
        <f t="shared" si="31"/>
        <v/>
      </c>
      <c r="R157" s="58" t="str">
        <f t="shared" si="32"/>
        <v/>
      </c>
      <c r="S157" s="80"/>
    </row>
    <row r="158" spans="1:19" s="44" customFormat="1">
      <c r="A158" s="15"/>
      <c r="B158" s="79"/>
      <c r="C158" s="18" t="str">
        <f>IF(B158="","",VLOOKUP(B158,'Tabla de proceso'!$B$6:$G$28,2,))</f>
        <v/>
      </c>
      <c r="D158" s="17" t="str">
        <f>IF(B158="","",VLOOKUP(B158,'Tabla de proceso'!$B$5:$G$28,3,0))</f>
        <v/>
      </c>
      <c r="E158" s="13" t="str">
        <f t="shared" si="22"/>
        <v/>
      </c>
      <c r="F158" s="13" t="str">
        <f t="shared" si="23"/>
        <v/>
      </c>
      <c r="G158" s="13" t="str">
        <f t="shared" si="24"/>
        <v/>
      </c>
      <c r="H158" s="13" t="e">
        <f t="shared" si="25"/>
        <v>#VALUE!</v>
      </c>
      <c r="I158" s="47"/>
      <c r="J158" s="16">
        <f t="shared" si="26"/>
        <v>0</v>
      </c>
      <c r="K158" s="45" t="str">
        <f t="shared" si="27"/>
        <v>sábado</v>
      </c>
      <c r="L158" s="49"/>
      <c r="M158" s="50"/>
      <c r="N158" s="52">
        <f t="shared" si="28"/>
        <v>0</v>
      </c>
      <c r="O158" s="52">
        <f t="shared" si="29"/>
        <v>0</v>
      </c>
      <c r="P158" s="53">
        <f t="shared" si="30"/>
        <v>0</v>
      </c>
      <c r="Q158" s="54" t="str">
        <f t="shared" si="31"/>
        <v/>
      </c>
      <c r="R158" s="58" t="str">
        <f t="shared" si="32"/>
        <v/>
      </c>
      <c r="S158" s="80"/>
    </row>
    <row r="159" spans="1:19" s="44" customFormat="1">
      <c r="A159" s="15"/>
      <c r="B159" s="79"/>
      <c r="C159" s="18" t="str">
        <f>IF(B159="","",VLOOKUP(B159,'Tabla de proceso'!$B$6:$G$28,2,))</f>
        <v/>
      </c>
      <c r="D159" s="17" t="str">
        <f>IF(B159="","",VLOOKUP(B159,'Tabla de proceso'!$B$5:$G$28,3,0))</f>
        <v/>
      </c>
      <c r="E159" s="13" t="str">
        <f t="shared" si="22"/>
        <v/>
      </c>
      <c r="F159" s="13" t="str">
        <f t="shared" si="23"/>
        <v/>
      </c>
      <c r="G159" s="13" t="str">
        <f t="shared" si="24"/>
        <v/>
      </c>
      <c r="H159" s="13" t="e">
        <f t="shared" si="25"/>
        <v>#VALUE!</v>
      </c>
      <c r="I159" s="47"/>
      <c r="J159" s="16">
        <f t="shared" si="26"/>
        <v>0</v>
      </c>
      <c r="K159" s="45" t="str">
        <f t="shared" si="27"/>
        <v>sábado</v>
      </c>
      <c r="L159" s="49"/>
      <c r="M159" s="50"/>
      <c r="N159" s="52">
        <f t="shared" si="28"/>
        <v>0</v>
      </c>
      <c r="O159" s="52">
        <f t="shared" si="29"/>
        <v>0</v>
      </c>
      <c r="P159" s="53">
        <f t="shared" si="30"/>
        <v>0</v>
      </c>
      <c r="Q159" s="54" t="str">
        <f t="shared" si="31"/>
        <v/>
      </c>
      <c r="R159" s="58" t="str">
        <f t="shared" si="32"/>
        <v/>
      </c>
      <c r="S159" s="80"/>
    </row>
    <row r="160" spans="1:19" s="44" customFormat="1">
      <c r="A160" s="15"/>
      <c r="B160" s="79"/>
      <c r="C160" s="18" t="str">
        <f>IF(B160="","",VLOOKUP(B160,'Tabla de proceso'!$B$6:$G$28,2,))</f>
        <v/>
      </c>
      <c r="D160" s="17" t="str">
        <f>IF(B160="","",VLOOKUP(B160,'Tabla de proceso'!$B$5:$G$28,3,0))</f>
        <v/>
      </c>
      <c r="E160" s="13" t="str">
        <f t="shared" si="22"/>
        <v/>
      </c>
      <c r="F160" s="13" t="str">
        <f t="shared" si="23"/>
        <v/>
      </c>
      <c r="G160" s="13" t="str">
        <f t="shared" si="24"/>
        <v/>
      </c>
      <c r="H160" s="13" t="e">
        <f t="shared" si="25"/>
        <v>#VALUE!</v>
      </c>
      <c r="I160" s="47"/>
      <c r="J160" s="16">
        <f t="shared" si="26"/>
        <v>0</v>
      </c>
      <c r="K160" s="45" t="str">
        <f t="shared" si="27"/>
        <v>sábado</v>
      </c>
      <c r="L160" s="49"/>
      <c r="M160" s="50"/>
      <c r="N160" s="52">
        <f t="shared" si="28"/>
        <v>0</v>
      </c>
      <c r="O160" s="52">
        <f t="shared" si="29"/>
        <v>0</v>
      </c>
      <c r="P160" s="53">
        <f t="shared" si="30"/>
        <v>0</v>
      </c>
      <c r="Q160" s="54" t="str">
        <f t="shared" si="31"/>
        <v/>
      </c>
      <c r="R160" s="58" t="str">
        <f t="shared" si="32"/>
        <v/>
      </c>
      <c r="S160" s="80"/>
    </row>
    <row r="161" spans="1:19" s="44" customFormat="1">
      <c r="A161" s="15"/>
      <c r="B161" s="79"/>
      <c r="C161" s="18" t="str">
        <f>IF(B161="","",VLOOKUP(B161,'Tabla de proceso'!$B$6:$G$28,2,))</f>
        <v/>
      </c>
      <c r="D161" s="17" t="str">
        <f>IF(B161="","",VLOOKUP(B161,'Tabla de proceso'!$B$5:$G$28,3,0))</f>
        <v/>
      </c>
      <c r="E161" s="13" t="str">
        <f t="shared" si="22"/>
        <v/>
      </c>
      <c r="F161" s="13" t="str">
        <f t="shared" si="23"/>
        <v/>
      </c>
      <c r="G161" s="13" t="str">
        <f t="shared" si="24"/>
        <v/>
      </c>
      <c r="H161" s="13" t="e">
        <f t="shared" si="25"/>
        <v>#VALUE!</v>
      </c>
      <c r="I161" s="47"/>
      <c r="J161" s="16">
        <f t="shared" si="26"/>
        <v>0</v>
      </c>
      <c r="K161" s="45" t="str">
        <f t="shared" si="27"/>
        <v>sábado</v>
      </c>
      <c r="L161" s="49"/>
      <c r="M161" s="50"/>
      <c r="N161" s="52">
        <f t="shared" si="28"/>
        <v>0</v>
      </c>
      <c r="O161" s="52">
        <f t="shared" si="29"/>
        <v>0</v>
      </c>
      <c r="P161" s="53">
        <f t="shared" si="30"/>
        <v>0</v>
      </c>
      <c r="Q161" s="54" t="str">
        <f t="shared" si="31"/>
        <v/>
      </c>
      <c r="R161" s="58" t="str">
        <f t="shared" si="32"/>
        <v/>
      </c>
      <c r="S161" s="80"/>
    </row>
    <row r="162" spans="1:19" s="44" customFormat="1">
      <c r="A162" s="15"/>
      <c r="B162" s="79"/>
      <c r="C162" s="18" t="str">
        <f>IF(B162="","",VLOOKUP(B162,'Tabla de proceso'!$B$6:$G$28,2,))</f>
        <v/>
      </c>
      <c r="D162" s="17" t="str">
        <f>IF(B162="","",VLOOKUP(B162,'Tabla de proceso'!$B$5:$G$28,3,0))</f>
        <v/>
      </c>
      <c r="E162" s="13" t="str">
        <f t="shared" si="22"/>
        <v/>
      </c>
      <c r="F162" s="13" t="str">
        <f t="shared" si="23"/>
        <v/>
      </c>
      <c r="G162" s="13" t="str">
        <f t="shared" si="24"/>
        <v/>
      </c>
      <c r="H162" s="13" t="e">
        <f t="shared" si="25"/>
        <v>#VALUE!</v>
      </c>
      <c r="I162" s="47"/>
      <c r="J162" s="16">
        <f t="shared" si="26"/>
        <v>0</v>
      </c>
      <c r="K162" s="45" t="str">
        <f t="shared" si="27"/>
        <v>sábado</v>
      </c>
      <c r="L162" s="49"/>
      <c r="M162" s="50"/>
      <c r="N162" s="52">
        <f t="shared" si="28"/>
        <v>0</v>
      </c>
      <c r="O162" s="52">
        <f t="shared" si="29"/>
        <v>0</v>
      </c>
      <c r="P162" s="53">
        <f t="shared" si="30"/>
        <v>0</v>
      </c>
      <c r="Q162" s="54" t="str">
        <f t="shared" si="31"/>
        <v/>
      </c>
      <c r="R162" s="58" t="str">
        <f t="shared" si="32"/>
        <v/>
      </c>
      <c r="S162" s="80"/>
    </row>
    <row r="163" spans="1:19" s="44" customFormat="1">
      <c r="A163" s="15"/>
      <c r="B163" s="79"/>
      <c r="C163" s="18" t="str">
        <f>IF(B163="","",VLOOKUP(B163,'Tabla de proceso'!$B$6:$G$28,2,))</f>
        <v/>
      </c>
      <c r="D163" s="17" t="str">
        <f>IF(B163="","",VLOOKUP(B163,'Tabla de proceso'!$B$5:$G$28,3,0))</f>
        <v/>
      </c>
      <c r="E163" s="13" t="str">
        <f t="shared" si="22"/>
        <v/>
      </c>
      <c r="F163" s="13" t="str">
        <f t="shared" si="23"/>
        <v/>
      </c>
      <c r="G163" s="13" t="str">
        <f t="shared" si="24"/>
        <v/>
      </c>
      <c r="H163" s="13" t="e">
        <f t="shared" si="25"/>
        <v>#VALUE!</v>
      </c>
      <c r="I163" s="47"/>
      <c r="J163" s="16">
        <f t="shared" si="26"/>
        <v>0</v>
      </c>
      <c r="K163" s="45" t="str">
        <f t="shared" si="27"/>
        <v>sábado</v>
      </c>
      <c r="L163" s="49"/>
      <c r="M163" s="50"/>
      <c r="N163" s="52">
        <f t="shared" si="28"/>
        <v>0</v>
      </c>
      <c r="O163" s="52">
        <f t="shared" si="29"/>
        <v>0</v>
      </c>
      <c r="P163" s="53">
        <f t="shared" si="30"/>
        <v>0</v>
      </c>
      <c r="Q163" s="54" t="str">
        <f t="shared" si="31"/>
        <v/>
      </c>
      <c r="R163" s="58" t="str">
        <f t="shared" si="32"/>
        <v/>
      </c>
      <c r="S163" s="80"/>
    </row>
    <row r="164" spans="1:19" s="44" customFormat="1">
      <c r="A164" s="15"/>
      <c r="B164" s="79"/>
      <c r="C164" s="18" t="str">
        <f>IF(B164="","",VLOOKUP(B164,'Tabla de proceso'!$B$6:$G$28,2,))</f>
        <v/>
      </c>
      <c r="D164" s="17" t="str">
        <f>IF(B164="","",VLOOKUP(B164,'Tabla de proceso'!$B$5:$G$28,3,0))</f>
        <v/>
      </c>
      <c r="E164" s="13" t="str">
        <f t="shared" si="22"/>
        <v/>
      </c>
      <c r="F164" s="13" t="str">
        <f t="shared" si="23"/>
        <v/>
      </c>
      <c r="G164" s="13" t="str">
        <f t="shared" si="24"/>
        <v/>
      </c>
      <c r="H164" s="13" t="e">
        <f t="shared" si="25"/>
        <v>#VALUE!</v>
      </c>
      <c r="I164" s="47"/>
      <c r="J164" s="16">
        <f t="shared" si="26"/>
        <v>0</v>
      </c>
      <c r="K164" s="45" t="str">
        <f t="shared" si="27"/>
        <v>sábado</v>
      </c>
      <c r="L164" s="49"/>
      <c r="M164" s="50"/>
      <c r="N164" s="52">
        <f t="shared" si="28"/>
        <v>0</v>
      </c>
      <c r="O164" s="52">
        <f t="shared" si="29"/>
        <v>0</v>
      </c>
      <c r="P164" s="53">
        <f t="shared" si="30"/>
        <v>0</v>
      </c>
      <c r="Q164" s="54" t="str">
        <f t="shared" si="31"/>
        <v/>
      </c>
      <c r="R164" s="58" t="str">
        <f t="shared" si="32"/>
        <v/>
      </c>
      <c r="S164" s="80"/>
    </row>
    <row r="165" spans="1:19" s="44" customFormat="1">
      <c r="A165" s="15"/>
      <c r="B165" s="79"/>
      <c r="C165" s="18" t="str">
        <f>IF(B165="","",VLOOKUP(B165,'Tabla de proceso'!$B$6:$G$28,2,))</f>
        <v/>
      </c>
      <c r="D165" s="17" t="str">
        <f>IF(B165="","",VLOOKUP(B165,'Tabla de proceso'!$B$5:$G$28,3,0))</f>
        <v/>
      </c>
      <c r="E165" s="13" t="str">
        <f t="shared" si="22"/>
        <v/>
      </c>
      <c r="F165" s="13" t="str">
        <f t="shared" si="23"/>
        <v/>
      </c>
      <c r="G165" s="13" t="str">
        <f t="shared" si="24"/>
        <v/>
      </c>
      <c r="H165" s="13" t="e">
        <f t="shared" si="25"/>
        <v>#VALUE!</v>
      </c>
      <c r="I165" s="47"/>
      <c r="J165" s="16">
        <f t="shared" si="26"/>
        <v>0</v>
      </c>
      <c r="K165" s="45" t="str">
        <f t="shared" si="27"/>
        <v>sábado</v>
      </c>
      <c r="L165" s="49"/>
      <c r="M165" s="50"/>
      <c r="N165" s="52">
        <f t="shared" si="28"/>
        <v>0</v>
      </c>
      <c r="O165" s="52">
        <f t="shared" si="29"/>
        <v>0</v>
      </c>
      <c r="P165" s="53">
        <f t="shared" si="30"/>
        <v>0</v>
      </c>
      <c r="Q165" s="54" t="str">
        <f t="shared" si="31"/>
        <v/>
      </c>
      <c r="R165" s="58" t="str">
        <f t="shared" si="32"/>
        <v/>
      </c>
      <c r="S165" s="80"/>
    </row>
    <row r="166" spans="1:19" s="44" customFormat="1">
      <c r="A166" s="15"/>
      <c r="B166" s="79"/>
      <c r="C166" s="18" t="str">
        <f>IF(B166="","",VLOOKUP(B166,'Tabla de proceso'!$B$6:$G$28,2,))</f>
        <v/>
      </c>
      <c r="D166" s="17" t="str">
        <f>IF(B166="","",VLOOKUP(B166,'Tabla de proceso'!$B$5:$G$28,3,0))</f>
        <v/>
      </c>
      <c r="E166" s="13" t="str">
        <f t="shared" si="22"/>
        <v/>
      </c>
      <c r="F166" s="13" t="str">
        <f t="shared" si="23"/>
        <v/>
      </c>
      <c r="G166" s="13" t="str">
        <f t="shared" si="24"/>
        <v/>
      </c>
      <c r="H166" s="13" t="e">
        <f t="shared" si="25"/>
        <v>#VALUE!</v>
      </c>
      <c r="I166" s="47"/>
      <c r="J166" s="16">
        <f t="shared" si="26"/>
        <v>0</v>
      </c>
      <c r="K166" s="45" t="str">
        <f t="shared" si="27"/>
        <v>sábado</v>
      </c>
      <c r="L166" s="49"/>
      <c r="M166" s="50"/>
      <c r="N166" s="52">
        <f t="shared" si="28"/>
        <v>0</v>
      </c>
      <c r="O166" s="52">
        <f t="shared" si="29"/>
        <v>0</v>
      </c>
      <c r="P166" s="53">
        <f t="shared" si="30"/>
        <v>0</v>
      </c>
      <c r="Q166" s="54" t="str">
        <f t="shared" si="31"/>
        <v/>
      </c>
      <c r="R166" s="58" t="str">
        <f t="shared" si="32"/>
        <v/>
      </c>
      <c r="S166" s="80"/>
    </row>
    <row r="167" spans="1:19" s="44" customFormat="1">
      <c r="A167" s="15"/>
      <c r="B167" s="79"/>
      <c r="C167" s="18" t="str">
        <f>IF(B167="","",VLOOKUP(B167,'Tabla de proceso'!$B$6:$G$28,2,))</f>
        <v/>
      </c>
      <c r="D167" s="17" t="str">
        <f>IF(B167="","",VLOOKUP(B167,'Tabla de proceso'!$B$5:$G$28,3,0))</f>
        <v/>
      </c>
      <c r="E167" s="13" t="str">
        <f t="shared" si="22"/>
        <v/>
      </c>
      <c r="F167" s="13" t="str">
        <f t="shared" si="23"/>
        <v/>
      </c>
      <c r="G167" s="13" t="str">
        <f t="shared" si="24"/>
        <v/>
      </c>
      <c r="H167" s="13" t="e">
        <f t="shared" si="25"/>
        <v>#VALUE!</v>
      </c>
      <c r="I167" s="47"/>
      <c r="J167" s="16">
        <f t="shared" si="26"/>
        <v>0</v>
      </c>
      <c r="K167" s="45" t="str">
        <f t="shared" si="27"/>
        <v>sábado</v>
      </c>
      <c r="L167" s="49"/>
      <c r="M167" s="50"/>
      <c r="N167" s="52">
        <f t="shared" si="28"/>
        <v>0</v>
      </c>
      <c r="O167" s="52">
        <f t="shared" si="29"/>
        <v>0</v>
      </c>
      <c r="P167" s="53">
        <f t="shared" si="30"/>
        <v>0</v>
      </c>
      <c r="Q167" s="54" t="str">
        <f t="shared" si="31"/>
        <v/>
      </c>
      <c r="R167" s="58" t="str">
        <f t="shared" si="32"/>
        <v/>
      </c>
      <c r="S167" s="80"/>
    </row>
    <row r="168" spans="1:19" s="44" customFormat="1">
      <c r="A168" s="15"/>
      <c r="B168" s="79"/>
      <c r="C168" s="18" t="str">
        <f>IF(B168="","",VLOOKUP(B168,'Tabla de proceso'!$B$6:$G$28,2,))</f>
        <v/>
      </c>
      <c r="D168" s="17" t="str">
        <f>IF(B168="","",VLOOKUP(B168,'Tabla de proceso'!$B$5:$G$28,3,0))</f>
        <v/>
      </c>
      <c r="E168" s="13" t="str">
        <f t="shared" si="22"/>
        <v/>
      </c>
      <c r="F168" s="13" t="str">
        <f t="shared" si="23"/>
        <v/>
      </c>
      <c r="G168" s="13" t="str">
        <f t="shared" si="24"/>
        <v/>
      </c>
      <c r="H168" s="13" t="e">
        <f t="shared" si="25"/>
        <v>#VALUE!</v>
      </c>
      <c r="I168" s="47"/>
      <c r="J168" s="16">
        <f t="shared" si="26"/>
        <v>0</v>
      </c>
      <c r="K168" s="45" t="str">
        <f t="shared" si="27"/>
        <v>sábado</v>
      </c>
      <c r="L168" s="49"/>
      <c r="M168" s="50"/>
      <c r="N168" s="52">
        <f t="shared" si="28"/>
        <v>0</v>
      </c>
      <c r="O168" s="52">
        <f t="shared" si="29"/>
        <v>0</v>
      </c>
      <c r="P168" s="53">
        <f t="shared" si="30"/>
        <v>0</v>
      </c>
      <c r="Q168" s="54" t="str">
        <f t="shared" si="31"/>
        <v/>
      </c>
      <c r="R168" s="58" t="str">
        <f t="shared" si="32"/>
        <v/>
      </c>
      <c r="S168" s="80"/>
    </row>
    <row r="169" spans="1:19" s="44" customFormat="1">
      <c r="A169" s="15"/>
      <c r="B169" s="79"/>
      <c r="C169" s="18" t="str">
        <f>IF(B169="","",VLOOKUP(B169,'Tabla de proceso'!$B$6:$G$28,2,))</f>
        <v/>
      </c>
      <c r="D169" s="17" t="str">
        <f>IF(B169="","",VLOOKUP(B169,'Tabla de proceso'!$B$5:$G$28,3,0))</f>
        <v/>
      </c>
      <c r="E169" s="13" t="str">
        <f t="shared" si="22"/>
        <v/>
      </c>
      <c r="F169" s="13" t="str">
        <f t="shared" si="23"/>
        <v/>
      </c>
      <c r="G169" s="13" t="str">
        <f t="shared" si="24"/>
        <v/>
      </c>
      <c r="H169" s="13" t="e">
        <f t="shared" si="25"/>
        <v>#VALUE!</v>
      </c>
      <c r="I169" s="47"/>
      <c r="J169" s="16">
        <f t="shared" si="26"/>
        <v>0</v>
      </c>
      <c r="K169" s="45" t="str">
        <f t="shared" si="27"/>
        <v>sábado</v>
      </c>
      <c r="L169" s="49"/>
      <c r="M169" s="50"/>
      <c r="N169" s="52">
        <f t="shared" si="28"/>
        <v>0</v>
      </c>
      <c r="O169" s="52">
        <f t="shared" si="29"/>
        <v>0</v>
      </c>
      <c r="P169" s="53">
        <f t="shared" si="30"/>
        <v>0</v>
      </c>
      <c r="Q169" s="54" t="str">
        <f t="shared" si="31"/>
        <v/>
      </c>
      <c r="R169" s="58" t="str">
        <f t="shared" si="32"/>
        <v/>
      </c>
      <c r="S169" s="80"/>
    </row>
    <row r="170" spans="1:19" s="44" customFormat="1">
      <c r="A170" s="15"/>
      <c r="B170" s="79"/>
      <c r="C170" s="18" t="str">
        <f>IF(B170="","",VLOOKUP(B170,'Tabla de proceso'!$B$6:$G$28,2,))</f>
        <v/>
      </c>
      <c r="D170" s="17" t="str">
        <f>IF(B170="","",VLOOKUP(B170,'Tabla de proceso'!$B$5:$G$28,3,0))</f>
        <v/>
      </c>
      <c r="E170" s="13" t="str">
        <f t="shared" si="22"/>
        <v/>
      </c>
      <c r="F170" s="13" t="str">
        <f t="shared" si="23"/>
        <v/>
      </c>
      <c r="G170" s="13" t="str">
        <f t="shared" si="24"/>
        <v/>
      </c>
      <c r="H170" s="13" t="e">
        <f t="shared" si="25"/>
        <v>#VALUE!</v>
      </c>
      <c r="I170" s="47"/>
      <c r="J170" s="16">
        <f t="shared" si="26"/>
        <v>0</v>
      </c>
      <c r="K170" s="45" t="str">
        <f t="shared" si="27"/>
        <v>sábado</v>
      </c>
      <c r="L170" s="49"/>
      <c r="M170" s="50"/>
      <c r="N170" s="52">
        <f t="shared" si="28"/>
        <v>0</v>
      </c>
      <c r="O170" s="52">
        <f t="shared" si="29"/>
        <v>0</v>
      </c>
      <c r="P170" s="53">
        <f t="shared" si="30"/>
        <v>0</v>
      </c>
      <c r="Q170" s="54" t="str">
        <f t="shared" si="31"/>
        <v/>
      </c>
      <c r="R170" s="58" t="str">
        <f t="shared" si="32"/>
        <v/>
      </c>
      <c r="S170" s="80"/>
    </row>
    <row r="171" spans="1:19" s="44" customFormat="1">
      <c r="A171" s="15"/>
      <c r="B171" s="79"/>
      <c r="C171" s="18" t="str">
        <f>IF(B171="","",VLOOKUP(B171,'Tabla de proceso'!$B$6:$G$28,2,))</f>
        <v/>
      </c>
      <c r="D171" s="17" t="str">
        <f>IF(B171="","",VLOOKUP(B171,'Tabla de proceso'!$B$5:$G$28,3,0))</f>
        <v/>
      </c>
      <c r="E171" s="13" t="str">
        <f t="shared" si="22"/>
        <v/>
      </c>
      <c r="F171" s="13" t="str">
        <f t="shared" si="23"/>
        <v/>
      </c>
      <c r="G171" s="13" t="str">
        <f t="shared" si="24"/>
        <v/>
      </c>
      <c r="H171" s="13" t="e">
        <f t="shared" si="25"/>
        <v>#VALUE!</v>
      </c>
      <c r="I171" s="47"/>
      <c r="J171" s="16">
        <f t="shared" si="26"/>
        <v>0</v>
      </c>
      <c r="K171" s="45" t="str">
        <f t="shared" si="27"/>
        <v>sábado</v>
      </c>
      <c r="L171" s="49"/>
      <c r="M171" s="50"/>
      <c r="N171" s="52">
        <f t="shared" si="28"/>
        <v>0</v>
      </c>
      <c r="O171" s="52">
        <f t="shared" si="29"/>
        <v>0</v>
      </c>
      <c r="P171" s="53">
        <f t="shared" si="30"/>
        <v>0</v>
      </c>
      <c r="Q171" s="54" t="str">
        <f t="shared" si="31"/>
        <v/>
      </c>
      <c r="R171" s="58" t="str">
        <f t="shared" si="32"/>
        <v/>
      </c>
      <c r="S171" s="80"/>
    </row>
    <row r="172" spans="1:19" s="44" customFormat="1">
      <c r="A172" s="15"/>
      <c r="B172" s="79"/>
      <c r="C172" s="18" t="str">
        <f>IF(B172="","",VLOOKUP(B172,'Tabla de proceso'!$B$6:$G$28,2,))</f>
        <v/>
      </c>
      <c r="D172" s="17" t="str">
        <f>IF(B172="","",VLOOKUP(B172,'Tabla de proceso'!$B$5:$G$28,3,0))</f>
        <v/>
      </c>
      <c r="E172" s="13" t="str">
        <f t="shared" si="22"/>
        <v/>
      </c>
      <c r="F172" s="13" t="str">
        <f t="shared" si="23"/>
        <v/>
      </c>
      <c r="G172" s="13" t="str">
        <f t="shared" si="24"/>
        <v/>
      </c>
      <c r="H172" s="13" t="e">
        <f t="shared" si="25"/>
        <v>#VALUE!</v>
      </c>
      <c r="I172" s="47"/>
      <c r="J172" s="16">
        <f t="shared" si="26"/>
        <v>0</v>
      </c>
      <c r="K172" s="45" t="str">
        <f t="shared" si="27"/>
        <v>sábado</v>
      </c>
      <c r="L172" s="49"/>
      <c r="M172" s="50"/>
      <c r="N172" s="52">
        <f t="shared" si="28"/>
        <v>0</v>
      </c>
      <c r="O172" s="52">
        <f t="shared" si="29"/>
        <v>0</v>
      </c>
      <c r="P172" s="53">
        <f t="shared" si="30"/>
        <v>0</v>
      </c>
      <c r="Q172" s="54" t="str">
        <f t="shared" si="31"/>
        <v/>
      </c>
      <c r="R172" s="58" t="str">
        <f t="shared" si="32"/>
        <v/>
      </c>
      <c r="S172" s="80"/>
    </row>
    <row r="173" spans="1:19" s="44" customFormat="1">
      <c r="A173" s="15"/>
      <c r="B173" s="79"/>
      <c r="C173" s="18" t="str">
        <f>IF(B173="","",VLOOKUP(B173,'Tabla de proceso'!$B$6:$G$28,2,))</f>
        <v/>
      </c>
      <c r="D173" s="17" t="str">
        <f>IF(B173="","",VLOOKUP(B173,'Tabla de proceso'!$B$5:$G$28,3,0))</f>
        <v/>
      </c>
      <c r="E173" s="13" t="str">
        <f t="shared" si="22"/>
        <v/>
      </c>
      <c r="F173" s="13" t="str">
        <f t="shared" si="23"/>
        <v/>
      </c>
      <c r="G173" s="13" t="str">
        <f t="shared" si="24"/>
        <v/>
      </c>
      <c r="H173" s="13" t="e">
        <f t="shared" si="25"/>
        <v>#VALUE!</v>
      </c>
      <c r="I173" s="47"/>
      <c r="J173" s="16">
        <f t="shared" si="26"/>
        <v>0</v>
      </c>
      <c r="K173" s="45" t="str">
        <f t="shared" si="27"/>
        <v>sábado</v>
      </c>
      <c r="L173" s="49"/>
      <c r="M173" s="50"/>
      <c r="N173" s="52">
        <f t="shared" si="28"/>
        <v>0</v>
      </c>
      <c r="O173" s="52">
        <f t="shared" si="29"/>
        <v>0</v>
      </c>
      <c r="P173" s="53">
        <f t="shared" si="30"/>
        <v>0</v>
      </c>
      <c r="Q173" s="54" t="str">
        <f t="shared" si="31"/>
        <v/>
      </c>
      <c r="R173" s="58" t="str">
        <f t="shared" si="32"/>
        <v/>
      </c>
      <c r="S173" s="80"/>
    </row>
    <row r="174" spans="1:19" s="44" customFormat="1">
      <c r="A174" s="15"/>
      <c r="B174" s="79"/>
      <c r="C174" s="18" t="str">
        <f>IF(B174="","",VLOOKUP(B174,'Tabla de proceso'!$B$6:$G$28,2,))</f>
        <v/>
      </c>
      <c r="D174" s="17" t="str">
        <f>IF(B174="","",VLOOKUP(B174,'Tabla de proceso'!$B$5:$G$28,3,0))</f>
        <v/>
      </c>
      <c r="E174" s="13" t="str">
        <f t="shared" si="22"/>
        <v/>
      </c>
      <c r="F174" s="13" t="str">
        <f t="shared" si="23"/>
        <v/>
      </c>
      <c r="G174" s="13" t="str">
        <f t="shared" si="24"/>
        <v/>
      </c>
      <c r="H174" s="13" t="e">
        <f t="shared" si="25"/>
        <v>#VALUE!</v>
      </c>
      <c r="I174" s="47"/>
      <c r="J174" s="16">
        <f t="shared" si="26"/>
        <v>0</v>
      </c>
      <c r="K174" s="45" t="str">
        <f t="shared" si="27"/>
        <v>sábado</v>
      </c>
      <c r="L174" s="49"/>
      <c r="M174" s="50"/>
      <c r="N174" s="52">
        <f t="shared" si="28"/>
        <v>0</v>
      </c>
      <c r="O174" s="52">
        <f t="shared" si="29"/>
        <v>0</v>
      </c>
      <c r="P174" s="53">
        <f t="shared" si="30"/>
        <v>0</v>
      </c>
      <c r="Q174" s="54" t="str">
        <f t="shared" si="31"/>
        <v/>
      </c>
      <c r="R174" s="58" t="str">
        <f t="shared" si="32"/>
        <v/>
      </c>
      <c r="S174" s="80"/>
    </row>
    <row r="175" spans="1:19" s="44" customFormat="1">
      <c r="A175" s="15"/>
      <c r="B175" s="79"/>
      <c r="C175" s="18" t="str">
        <f>IF(B175="","",VLOOKUP(B175,'Tabla de proceso'!$B$6:$G$28,2,))</f>
        <v/>
      </c>
      <c r="D175" s="17" t="str">
        <f>IF(B175="","",VLOOKUP(B175,'Tabla de proceso'!$B$5:$G$28,3,0))</f>
        <v/>
      </c>
      <c r="E175" s="13" t="str">
        <f t="shared" si="22"/>
        <v/>
      </c>
      <c r="F175" s="13" t="str">
        <f t="shared" si="23"/>
        <v/>
      </c>
      <c r="G175" s="13" t="str">
        <f t="shared" si="24"/>
        <v/>
      </c>
      <c r="H175" s="13" t="e">
        <f t="shared" si="25"/>
        <v>#VALUE!</v>
      </c>
      <c r="I175" s="47"/>
      <c r="J175" s="16">
        <f t="shared" si="26"/>
        <v>0</v>
      </c>
      <c r="K175" s="45" t="str">
        <f t="shared" si="27"/>
        <v>sábado</v>
      </c>
      <c r="L175" s="49"/>
      <c r="M175" s="50"/>
      <c r="N175" s="52">
        <f t="shared" si="28"/>
        <v>0</v>
      </c>
      <c r="O175" s="52">
        <f t="shared" si="29"/>
        <v>0</v>
      </c>
      <c r="P175" s="53">
        <f t="shared" si="30"/>
        <v>0</v>
      </c>
      <c r="Q175" s="54" t="str">
        <f t="shared" si="31"/>
        <v/>
      </c>
      <c r="R175" s="58" t="str">
        <f t="shared" si="32"/>
        <v/>
      </c>
      <c r="S175" s="80"/>
    </row>
    <row r="176" spans="1:19" s="44" customFormat="1">
      <c r="A176" s="15"/>
      <c r="B176" s="79"/>
      <c r="C176" s="18" t="str">
        <f>IF(B176="","",VLOOKUP(B176,'Tabla de proceso'!$B$6:$G$28,2,))</f>
        <v/>
      </c>
      <c r="D176" s="17" t="str">
        <f>IF(B176="","",VLOOKUP(B176,'Tabla de proceso'!$B$5:$G$28,3,0))</f>
        <v/>
      </c>
      <c r="E176" s="13" t="str">
        <f t="shared" si="22"/>
        <v/>
      </c>
      <c r="F176" s="13" t="str">
        <f t="shared" si="23"/>
        <v/>
      </c>
      <c r="G176" s="13" t="str">
        <f t="shared" si="24"/>
        <v/>
      </c>
      <c r="H176" s="13" t="e">
        <f t="shared" si="25"/>
        <v>#VALUE!</v>
      </c>
      <c r="I176" s="47"/>
      <c r="J176" s="16">
        <f t="shared" si="26"/>
        <v>0</v>
      </c>
      <c r="K176" s="45" t="str">
        <f t="shared" si="27"/>
        <v>sábado</v>
      </c>
      <c r="L176" s="49"/>
      <c r="M176" s="50"/>
      <c r="N176" s="52">
        <f t="shared" si="28"/>
        <v>0</v>
      </c>
      <c r="O176" s="52">
        <f t="shared" si="29"/>
        <v>0</v>
      </c>
      <c r="P176" s="53">
        <f t="shared" si="30"/>
        <v>0</v>
      </c>
      <c r="Q176" s="54" t="str">
        <f t="shared" si="31"/>
        <v/>
      </c>
      <c r="R176" s="58" t="str">
        <f t="shared" si="32"/>
        <v/>
      </c>
      <c r="S176" s="80"/>
    </row>
    <row r="177" spans="1:19" s="44" customFormat="1">
      <c r="A177" s="15"/>
      <c r="B177" s="79"/>
      <c r="C177" s="18" t="str">
        <f>IF(B177="","",VLOOKUP(B177,'Tabla de proceso'!$B$6:$G$28,2,))</f>
        <v/>
      </c>
      <c r="D177" s="17" t="str">
        <f>IF(B177="","",VLOOKUP(B177,'Tabla de proceso'!$B$5:$G$28,3,0))</f>
        <v/>
      </c>
      <c r="E177" s="13" t="str">
        <f t="shared" si="22"/>
        <v/>
      </c>
      <c r="F177" s="13" t="str">
        <f t="shared" si="23"/>
        <v/>
      </c>
      <c r="G177" s="13" t="str">
        <f t="shared" si="24"/>
        <v/>
      </c>
      <c r="H177" s="13" t="e">
        <f t="shared" si="25"/>
        <v>#VALUE!</v>
      </c>
      <c r="I177" s="47"/>
      <c r="J177" s="16">
        <f t="shared" si="26"/>
        <v>0</v>
      </c>
      <c r="K177" s="45" t="str">
        <f t="shared" si="27"/>
        <v>sábado</v>
      </c>
      <c r="L177" s="49"/>
      <c r="M177" s="50"/>
      <c r="N177" s="52">
        <f t="shared" si="28"/>
        <v>0</v>
      </c>
      <c r="O177" s="52">
        <f t="shared" si="29"/>
        <v>0</v>
      </c>
      <c r="P177" s="53">
        <f t="shared" si="30"/>
        <v>0</v>
      </c>
      <c r="Q177" s="54" t="str">
        <f t="shared" si="31"/>
        <v/>
      </c>
      <c r="R177" s="58" t="str">
        <f t="shared" si="32"/>
        <v/>
      </c>
      <c r="S177" s="80"/>
    </row>
    <row r="178" spans="1:19" s="44" customFormat="1">
      <c r="A178" s="15"/>
      <c r="B178" s="79"/>
      <c r="C178" s="18" t="str">
        <f>IF(B178="","",VLOOKUP(B178,'Tabla de proceso'!$B$6:$G$28,2,))</f>
        <v/>
      </c>
      <c r="D178" s="17" t="str">
        <f>IF(B178="","",VLOOKUP(B178,'Tabla de proceso'!$B$5:$G$28,3,0))</f>
        <v/>
      </c>
      <c r="E178" s="13" t="str">
        <f t="shared" si="22"/>
        <v/>
      </c>
      <c r="F178" s="13" t="str">
        <f t="shared" si="23"/>
        <v/>
      </c>
      <c r="G178" s="13" t="str">
        <f t="shared" si="24"/>
        <v/>
      </c>
      <c r="H178" s="13" t="e">
        <f t="shared" si="25"/>
        <v>#VALUE!</v>
      </c>
      <c r="I178" s="47"/>
      <c r="J178" s="16">
        <f t="shared" si="26"/>
        <v>0</v>
      </c>
      <c r="K178" s="45" t="str">
        <f t="shared" si="27"/>
        <v>sábado</v>
      </c>
      <c r="L178" s="49"/>
      <c r="M178" s="50"/>
      <c r="N178" s="52">
        <f t="shared" si="28"/>
        <v>0</v>
      </c>
      <c r="O178" s="52">
        <f t="shared" si="29"/>
        <v>0</v>
      </c>
      <c r="P178" s="53">
        <f t="shared" si="30"/>
        <v>0</v>
      </c>
      <c r="Q178" s="54" t="str">
        <f t="shared" si="31"/>
        <v/>
      </c>
      <c r="R178" s="58" t="str">
        <f t="shared" si="32"/>
        <v/>
      </c>
      <c r="S178" s="80"/>
    </row>
    <row r="179" spans="1:19" s="44" customFormat="1">
      <c r="A179" s="15"/>
      <c r="B179" s="79"/>
      <c r="C179" s="18" t="str">
        <f>IF(B179="","",VLOOKUP(B179,'Tabla de proceso'!$B$6:$G$28,2,))</f>
        <v/>
      </c>
      <c r="D179" s="17" t="str">
        <f>IF(B179="","",VLOOKUP(B179,'Tabla de proceso'!$B$5:$G$28,3,0))</f>
        <v/>
      </c>
      <c r="E179" s="13" t="str">
        <f t="shared" si="22"/>
        <v/>
      </c>
      <c r="F179" s="13" t="str">
        <f t="shared" si="23"/>
        <v/>
      </c>
      <c r="G179" s="13" t="str">
        <f t="shared" si="24"/>
        <v/>
      </c>
      <c r="H179" s="13" t="e">
        <f t="shared" si="25"/>
        <v>#VALUE!</v>
      </c>
      <c r="I179" s="47"/>
      <c r="J179" s="16">
        <f t="shared" si="26"/>
        <v>0</v>
      </c>
      <c r="K179" s="45" t="str">
        <f t="shared" si="27"/>
        <v>sábado</v>
      </c>
      <c r="L179" s="49"/>
      <c r="M179" s="50"/>
      <c r="N179" s="52">
        <f t="shared" si="28"/>
        <v>0</v>
      </c>
      <c r="O179" s="52">
        <f t="shared" si="29"/>
        <v>0</v>
      </c>
      <c r="P179" s="53">
        <f t="shared" si="30"/>
        <v>0</v>
      </c>
      <c r="Q179" s="54" t="str">
        <f t="shared" si="31"/>
        <v/>
      </c>
      <c r="R179" s="58" t="str">
        <f t="shared" si="32"/>
        <v/>
      </c>
      <c r="S179" s="80"/>
    </row>
    <row r="180" spans="1:19" s="44" customFormat="1">
      <c r="A180" s="15"/>
      <c r="B180" s="79"/>
      <c r="C180" s="18" t="str">
        <f>IF(B180="","",VLOOKUP(B180,'Tabla de proceso'!$B$6:$G$28,2,))</f>
        <v/>
      </c>
      <c r="D180" s="17" t="str">
        <f>IF(B180="","",VLOOKUP(B180,'Tabla de proceso'!$B$5:$G$28,3,0))</f>
        <v/>
      </c>
      <c r="E180" s="13" t="str">
        <f t="shared" si="22"/>
        <v/>
      </c>
      <c r="F180" s="13" t="str">
        <f t="shared" si="23"/>
        <v/>
      </c>
      <c r="G180" s="13" t="str">
        <f t="shared" si="24"/>
        <v/>
      </c>
      <c r="H180" s="13" t="e">
        <f t="shared" si="25"/>
        <v>#VALUE!</v>
      </c>
      <c r="I180" s="47"/>
      <c r="J180" s="16">
        <f t="shared" si="26"/>
        <v>0</v>
      </c>
      <c r="K180" s="45" t="str">
        <f t="shared" si="27"/>
        <v>sábado</v>
      </c>
      <c r="L180" s="49"/>
      <c r="M180" s="50"/>
      <c r="N180" s="52">
        <f t="shared" si="28"/>
        <v>0</v>
      </c>
      <c r="O180" s="52">
        <f t="shared" si="29"/>
        <v>0</v>
      </c>
      <c r="P180" s="53">
        <f t="shared" si="30"/>
        <v>0</v>
      </c>
      <c r="Q180" s="54" t="str">
        <f t="shared" si="31"/>
        <v/>
      </c>
      <c r="R180" s="58" t="str">
        <f t="shared" si="32"/>
        <v/>
      </c>
      <c r="S180" s="80"/>
    </row>
    <row r="181" spans="1:19" s="44" customFormat="1">
      <c r="A181" s="15"/>
      <c r="B181" s="79"/>
      <c r="C181" s="18" t="str">
        <f>IF(B181="","",VLOOKUP(B181,'Tabla de proceso'!$B$6:$G$28,2,))</f>
        <v/>
      </c>
      <c r="D181" s="17" t="str">
        <f>IF(B181="","",VLOOKUP(B181,'Tabla de proceso'!$B$5:$G$28,3,0))</f>
        <v/>
      </c>
      <c r="E181" s="13" t="str">
        <f t="shared" si="22"/>
        <v/>
      </c>
      <c r="F181" s="13" t="str">
        <f t="shared" si="23"/>
        <v/>
      </c>
      <c r="G181" s="13" t="str">
        <f t="shared" si="24"/>
        <v/>
      </c>
      <c r="H181" s="13" t="e">
        <f t="shared" si="25"/>
        <v>#VALUE!</v>
      </c>
      <c r="I181" s="47"/>
      <c r="J181" s="16">
        <f t="shared" si="26"/>
        <v>0</v>
      </c>
      <c r="K181" s="45" t="str">
        <f t="shared" si="27"/>
        <v>sábado</v>
      </c>
      <c r="L181" s="49"/>
      <c r="M181" s="50"/>
      <c r="N181" s="52">
        <f t="shared" si="28"/>
        <v>0</v>
      </c>
      <c r="O181" s="52">
        <f t="shared" si="29"/>
        <v>0</v>
      </c>
      <c r="P181" s="53">
        <f t="shared" si="30"/>
        <v>0</v>
      </c>
      <c r="Q181" s="54" t="str">
        <f t="shared" si="31"/>
        <v/>
      </c>
      <c r="R181" s="58" t="str">
        <f t="shared" si="32"/>
        <v/>
      </c>
      <c r="S181" s="80"/>
    </row>
    <row r="182" spans="1:19" s="44" customFormat="1">
      <c r="A182" s="15"/>
      <c r="B182" s="79"/>
      <c r="C182" s="18" t="str">
        <f>IF(B182="","",VLOOKUP(B182,'Tabla de proceso'!$B$6:$G$28,2,))</f>
        <v/>
      </c>
      <c r="D182" s="17" t="str">
        <f>IF(B182="","",VLOOKUP(B182,'Tabla de proceso'!$B$5:$G$28,3,0))</f>
        <v/>
      </c>
      <c r="E182" s="13" t="str">
        <f t="shared" si="22"/>
        <v/>
      </c>
      <c r="F182" s="13" t="str">
        <f t="shared" si="23"/>
        <v/>
      </c>
      <c r="G182" s="13" t="str">
        <f t="shared" si="24"/>
        <v/>
      </c>
      <c r="H182" s="13" t="e">
        <f t="shared" si="25"/>
        <v>#VALUE!</v>
      </c>
      <c r="I182" s="47"/>
      <c r="J182" s="16">
        <f t="shared" si="26"/>
        <v>0</v>
      </c>
      <c r="K182" s="45" t="str">
        <f t="shared" si="27"/>
        <v>sábado</v>
      </c>
      <c r="L182" s="49"/>
      <c r="M182" s="50"/>
      <c r="N182" s="52">
        <f t="shared" si="28"/>
        <v>0</v>
      </c>
      <c r="O182" s="52">
        <f t="shared" si="29"/>
        <v>0</v>
      </c>
      <c r="P182" s="53">
        <f t="shared" si="30"/>
        <v>0</v>
      </c>
      <c r="Q182" s="54" t="str">
        <f t="shared" si="31"/>
        <v/>
      </c>
      <c r="R182" s="58" t="str">
        <f t="shared" si="32"/>
        <v/>
      </c>
      <c r="S182" s="80"/>
    </row>
    <row r="183" spans="1:19" s="44" customFormat="1">
      <c r="A183" s="15"/>
      <c r="B183" s="79"/>
      <c r="C183" s="18" t="str">
        <f>IF(B183="","",VLOOKUP(B183,'Tabla de proceso'!$B$6:$G$28,2,))</f>
        <v/>
      </c>
      <c r="D183" s="17" t="str">
        <f>IF(B183="","",VLOOKUP(B183,'Tabla de proceso'!$B$5:$G$28,3,0))</f>
        <v/>
      </c>
      <c r="E183" s="13" t="str">
        <f t="shared" si="22"/>
        <v/>
      </c>
      <c r="F183" s="13" t="str">
        <f t="shared" si="23"/>
        <v/>
      </c>
      <c r="G183" s="13" t="str">
        <f t="shared" si="24"/>
        <v/>
      </c>
      <c r="H183" s="13" t="e">
        <f t="shared" si="25"/>
        <v>#VALUE!</v>
      </c>
      <c r="I183" s="47"/>
      <c r="J183" s="16">
        <f t="shared" si="26"/>
        <v>0</v>
      </c>
      <c r="K183" s="45" t="str">
        <f t="shared" si="27"/>
        <v>sábado</v>
      </c>
      <c r="L183" s="49"/>
      <c r="M183" s="50"/>
      <c r="N183" s="52">
        <f t="shared" si="28"/>
        <v>0</v>
      </c>
      <c r="O183" s="52">
        <f t="shared" si="29"/>
        <v>0</v>
      </c>
      <c r="P183" s="53">
        <f t="shared" si="30"/>
        <v>0</v>
      </c>
      <c r="Q183" s="54" t="str">
        <f t="shared" si="31"/>
        <v/>
      </c>
      <c r="R183" s="58" t="str">
        <f t="shared" si="32"/>
        <v/>
      </c>
      <c r="S183" s="81"/>
    </row>
    <row r="184" spans="1:19" s="44" customFormat="1">
      <c r="A184" s="15"/>
      <c r="B184" s="79"/>
      <c r="C184" s="18" t="str">
        <f>IF(B184="","",VLOOKUP(B184,'Tabla de proceso'!$B$6:$G$28,2,))</f>
        <v/>
      </c>
      <c r="D184" s="17" t="str">
        <f>IF(B184="","",VLOOKUP(B184,'Tabla de proceso'!$B$5:$G$28,3,0))</f>
        <v/>
      </c>
      <c r="E184" s="13" t="str">
        <f t="shared" si="22"/>
        <v/>
      </c>
      <c r="F184" s="13" t="str">
        <f t="shared" si="23"/>
        <v/>
      </c>
      <c r="G184" s="13" t="str">
        <f t="shared" si="24"/>
        <v/>
      </c>
      <c r="H184" s="13" t="e">
        <f t="shared" si="25"/>
        <v>#VALUE!</v>
      </c>
      <c r="I184" s="47"/>
      <c r="J184" s="16">
        <f t="shared" si="26"/>
        <v>0</v>
      </c>
      <c r="K184" s="45" t="str">
        <f t="shared" si="27"/>
        <v>sábado</v>
      </c>
      <c r="L184" s="49"/>
      <c r="M184" s="50"/>
      <c r="N184" s="52">
        <f t="shared" si="28"/>
        <v>0</v>
      </c>
      <c r="O184" s="52">
        <f t="shared" si="29"/>
        <v>0</v>
      </c>
      <c r="P184" s="53">
        <f t="shared" si="30"/>
        <v>0</v>
      </c>
      <c r="Q184" s="54" t="str">
        <f t="shared" si="31"/>
        <v/>
      </c>
      <c r="R184" s="58" t="str">
        <f t="shared" si="32"/>
        <v/>
      </c>
      <c r="S184" s="80"/>
    </row>
    <row r="185" spans="1:19" s="44" customFormat="1">
      <c r="A185" s="15"/>
      <c r="B185" s="79"/>
      <c r="C185" s="18" t="str">
        <f>IF(B185="","",VLOOKUP(B185,'Tabla de proceso'!$B$6:$G$28,2,))</f>
        <v/>
      </c>
      <c r="D185" s="17" t="str">
        <f>IF(B185="","",VLOOKUP(B185,'Tabla de proceso'!$B$5:$G$28,3,0))</f>
        <v/>
      </c>
      <c r="E185" s="13" t="str">
        <f t="shared" si="22"/>
        <v/>
      </c>
      <c r="F185" s="13" t="str">
        <f t="shared" si="23"/>
        <v/>
      </c>
      <c r="G185" s="13" t="str">
        <f t="shared" si="24"/>
        <v/>
      </c>
      <c r="H185" s="13" t="e">
        <f t="shared" si="25"/>
        <v>#VALUE!</v>
      </c>
      <c r="I185" s="47"/>
      <c r="J185" s="16">
        <f t="shared" si="26"/>
        <v>0</v>
      </c>
      <c r="K185" s="45" t="str">
        <f t="shared" si="27"/>
        <v>sábado</v>
      </c>
      <c r="L185" s="49"/>
      <c r="M185" s="50"/>
      <c r="N185" s="52">
        <f t="shared" si="28"/>
        <v>0</v>
      </c>
      <c r="O185" s="52">
        <f t="shared" si="29"/>
        <v>0</v>
      </c>
      <c r="P185" s="53">
        <f t="shared" si="30"/>
        <v>0</v>
      </c>
      <c r="Q185" s="54" t="str">
        <f t="shared" si="31"/>
        <v/>
      </c>
      <c r="R185" s="58" t="str">
        <f t="shared" si="32"/>
        <v/>
      </c>
      <c r="S185" s="80"/>
    </row>
    <row r="186" spans="1:19" s="44" customFormat="1">
      <c r="A186" s="15"/>
      <c r="B186" s="79"/>
      <c r="C186" s="18" t="str">
        <f>IF(B186="","",VLOOKUP(B186,'Tabla de proceso'!$B$6:$G$28,2,))</f>
        <v/>
      </c>
      <c r="D186" s="17" t="str">
        <f>IF(B186="","",VLOOKUP(B186,'Tabla de proceso'!$B$5:$G$28,3,0))</f>
        <v/>
      </c>
      <c r="E186" s="13" t="str">
        <f t="shared" si="22"/>
        <v/>
      </c>
      <c r="F186" s="13" t="str">
        <f t="shared" si="23"/>
        <v/>
      </c>
      <c r="G186" s="13" t="str">
        <f t="shared" si="24"/>
        <v/>
      </c>
      <c r="H186" s="13" t="e">
        <f t="shared" si="25"/>
        <v>#VALUE!</v>
      </c>
      <c r="I186" s="47"/>
      <c r="J186" s="16">
        <f t="shared" si="26"/>
        <v>0</v>
      </c>
      <c r="K186" s="45" t="str">
        <f t="shared" si="27"/>
        <v>sábado</v>
      </c>
      <c r="L186" s="49"/>
      <c r="M186" s="50"/>
      <c r="N186" s="52">
        <f t="shared" si="28"/>
        <v>0</v>
      </c>
      <c r="O186" s="52">
        <f t="shared" si="29"/>
        <v>0</v>
      </c>
      <c r="P186" s="53">
        <f t="shared" si="30"/>
        <v>0</v>
      </c>
      <c r="Q186" s="54" t="str">
        <f t="shared" si="31"/>
        <v/>
      </c>
      <c r="R186" s="58" t="str">
        <f t="shared" si="32"/>
        <v/>
      </c>
      <c r="S186" s="80"/>
    </row>
    <row r="187" spans="1:19" s="44" customFormat="1">
      <c r="A187" s="15"/>
      <c r="B187" s="79"/>
      <c r="C187" s="18" t="str">
        <f>IF(B187="","",VLOOKUP(B187,'Tabla de proceso'!$B$6:$G$28,2,))</f>
        <v/>
      </c>
      <c r="D187" s="17" t="str">
        <f>IF(B187="","",VLOOKUP(B187,'Tabla de proceso'!$B$5:$G$28,3,0))</f>
        <v/>
      </c>
      <c r="E187" s="13" t="str">
        <f t="shared" si="22"/>
        <v/>
      </c>
      <c r="F187" s="13" t="str">
        <f t="shared" si="23"/>
        <v/>
      </c>
      <c r="G187" s="13" t="str">
        <f t="shared" si="24"/>
        <v/>
      </c>
      <c r="H187" s="13" t="e">
        <f t="shared" si="25"/>
        <v>#VALUE!</v>
      </c>
      <c r="I187" s="47"/>
      <c r="J187" s="16">
        <f t="shared" si="26"/>
        <v>0</v>
      </c>
      <c r="K187" s="45" t="str">
        <f t="shared" si="27"/>
        <v>sábado</v>
      </c>
      <c r="L187" s="49"/>
      <c r="M187" s="50"/>
      <c r="N187" s="52">
        <f t="shared" si="28"/>
        <v>0</v>
      </c>
      <c r="O187" s="52">
        <f t="shared" si="29"/>
        <v>0</v>
      </c>
      <c r="P187" s="53">
        <f t="shared" si="30"/>
        <v>0</v>
      </c>
      <c r="Q187" s="54" t="str">
        <f t="shared" si="31"/>
        <v/>
      </c>
      <c r="R187" s="58" t="str">
        <f t="shared" si="32"/>
        <v/>
      </c>
      <c r="S187" s="80"/>
    </row>
    <row r="188" spans="1:19" s="44" customFormat="1">
      <c r="A188" s="15"/>
      <c r="B188" s="79"/>
      <c r="C188" s="18" t="str">
        <f>IF(B188="","",VLOOKUP(B188,'Tabla de proceso'!$B$6:$G$28,2,))</f>
        <v/>
      </c>
      <c r="D188" s="17" t="str">
        <f>IF(B188="","",VLOOKUP(B188,'Tabla de proceso'!$B$5:$G$28,3,0))</f>
        <v/>
      </c>
      <c r="E188" s="13" t="str">
        <f t="shared" si="22"/>
        <v/>
      </c>
      <c r="F188" s="13" t="str">
        <f t="shared" si="23"/>
        <v/>
      </c>
      <c r="G188" s="13" t="str">
        <f t="shared" si="24"/>
        <v/>
      </c>
      <c r="H188" s="13" t="e">
        <f t="shared" si="25"/>
        <v>#VALUE!</v>
      </c>
      <c r="I188" s="47"/>
      <c r="J188" s="16">
        <f t="shared" si="26"/>
        <v>0</v>
      </c>
      <c r="K188" s="45" t="str">
        <f t="shared" si="27"/>
        <v>sábado</v>
      </c>
      <c r="L188" s="49"/>
      <c r="M188" s="50"/>
      <c r="N188" s="52">
        <f t="shared" si="28"/>
        <v>0</v>
      </c>
      <c r="O188" s="52">
        <f t="shared" si="29"/>
        <v>0</v>
      </c>
      <c r="P188" s="53">
        <f t="shared" si="30"/>
        <v>0</v>
      </c>
      <c r="Q188" s="54" t="str">
        <f t="shared" si="31"/>
        <v/>
      </c>
      <c r="R188" s="58" t="str">
        <f t="shared" si="32"/>
        <v/>
      </c>
      <c r="S188" s="80"/>
    </row>
    <row r="189" spans="1:19" s="44" customFormat="1">
      <c r="A189" s="15"/>
      <c r="B189" s="79"/>
      <c r="C189" s="18" t="str">
        <f>IF(B189="","",VLOOKUP(B189,'Tabla de proceso'!$B$6:$G$28,2,))</f>
        <v/>
      </c>
      <c r="D189" s="17" t="str">
        <f>IF(B189="","",VLOOKUP(B189,'Tabla de proceso'!$B$5:$G$28,3,0))</f>
        <v/>
      </c>
      <c r="E189" s="13" t="str">
        <f t="shared" si="22"/>
        <v/>
      </c>
      <c r="F189" s="13" t="str">
        <f t="shared" si="23"/>
        <v/>
      </c>
      <c r="G189" s="13" t="str">
        <f t="shared" si="24"/>
        <v/>
      </c>
      <c r="H189" s="13" t="e">
        <f t="shared" si="25"/>
        <v>#VALUE!</v>
      </c>
      <c r="I189" s="47"/>
      <c r="J189" s="16">
        <f t="shared" si="26"/>
        <v>0</v>
      </c>
      <c r="K189" s="45" t="str">
        <f t="shared" si="27"/>
        <v>sábado</v>
      </c>
      <c r="L189" s="49"/>
      <c r="M189" s="50"/>
      <c r="N189" s="52">
        <f t="shared" si="28"/>
        <v>0</v>
      </c>
      <c r="O189" s="52">
        <f t="shared" si="29"/>
        <v>0</v>
      </c>
      <c r="P189" s="53">
        <f t="shared" si="30"/>
        <v>0</v>
      </c>
      <c r="Q189" s="54" t="str">
        <f t="shared" si="31"/>
        <v/>
      </c>
      <c r="R189" s="58" t="str">
        <f t="shared" si="32"/>
        <v/>
      </c>
      <c r="S189" s="80"/>
    </row>
    <row r="190" spans="1:19" s="44" customFormat="1">
      <c r="A190" s="15"/>
      <c r="B190" s="79"/>
      <c r="C190" s="18" t="str">
        <f>IF(B190="","",VLOOKUP(B190,'Tabla de proceso'!$B$6:$G$28,2,))</f>
        <v/>
      </c>
      <c r="D190" s="17" t="str">
        <f>IF(B190="","",VLOOKUP(B190,'Tabla de proceso'!$B$5:$G$28,3,0))</f>
        <v/>
      </c>
      <c r="E190" s="13" t="str">
        <f t="shared" si="22"/>
        <v/>
      </c>
      <c r="F190" s="13" t="str">
        <f t="shared" si="23"/>
        <v/>
      </c>
      <c r="G190" s="13" t="str">
        <f t="shared" si="24"/>
        <v/>
      </c>
      <c r="H190" s="13" t="e">
        <f t="shared" si="25"/>
        <v>#VALUE!</v>
      </c>
      <c r="I190" s="47"/>
      <c r="J190" s="16">
        <f t="shared" si="26"/>
        <v>0</v>
      </c>
      <c r="K190" s="45" t="str">
        <f t="shared" si="27"/>
        <v>sábado</v>
      </c>
      <c r="L190" s="49"/>
      <c r="M190" s="50"/>
      <c r="N190" s="52">
        <f t="shared" si="28"/>
        <v>0</v>
      </c>
      <c r="O190" s="52">
        <f t="shared" si="29"/>
        <v>0</v>
      </c>
      <c r="P190" s="53">
        <f t="shared" si="30"/>
        <v>0</v>
      </c>
      <c r="Q190" s="54" t="str">
        <f t="shared" si="31"/>
        <v/>
      </c>
      <c r="R190" s="58" t="str">
        <f t="shared" si="32"/>
        <v/>
      </c>
      <c r="S190" s="80"/>
    </row>
    <row r="191" spans="1:19" s="44" customFormat="1">
      <c r="A191" s="15"/>
      <c r="B191" s="79"/>
      <c r="C191" s="18" t="str">
        <f>IF(B191="","",VLOOKUP(B191,'Tabla de proceso'!$B$6:$G$28,2,))</f>
        <v/>
      </c>
      <c r="D191" s="17" t="str">
        <f>IF(B191="","",VLOOKUP(B191,'Tabla de proceso'!$B$5:$G$28,3,0))</f>
        <v/>
      </c>
      <c r="E191" s="13" t="str">
        <f t="shared" si="22"/>
        <v/>
      </c>
      <c r="F191" s="13" t="str">
        <f t="shared" si="23"/>
        <v/>
      </c>
      <c r="G191" s="13" t="str">
        <f t="shared" si="24"/>
        <v/>
      </c>
      <c r="H191" s="13" t="e">
        <f t="shared" si="25"/>
        <v>#VALUE!</v>
      </c>
      <c r="I191" s="47"/>
      <c r="J191" s="16">
        <f t="shared" si="26"/>
        <v>0</v>
      </c>
      <c r="K191" s="45" t="str">
        <f t="shared" si="27"/>
        <v>sábado</v>
      </c>
      <c r="L191" s="49"/>
      <c r="M191" s="50"/>
      <c r="N191" s="52">
        <f t="shared" si="28"/>
        <v>0</v>
      </c>
      <c r="O191" s="52">
        <f t="shared" si="29"/>
        <v>0</v>
      </c>
      <c r="P191" s="53">
        <f t="shared" si="30"/>
        <v>0</v>
      </c>
      <c r="Q191" s="54" t="str">
        <f t="shared" si="31"/>
        <v/>
      </c>
      <c r="R191" s="58" t="str">
        <f t="shared" si="32"/>
        <v/>
      </c>
      <c r="S191" s="80"/>
    </row>
    <row r="192" spans="1:19" s="44" customFormat="1">
      <c r="A192" s="15"/>
      <c r="B192" s="79"/>
      <c r="C192" s="18" t="str">
        <f>IF(B192="","",VLOOKUP(B192,'Tabla de proceso'!$B$6:$G$28,2,))</f>
        <v/>
      </c>
      <c r="D192" s="17" t="str">
        <f>IF(B192="","",VLOOKUP(B192,'Tabla de proceso'!$B$5:$G$28,3,0))</f>
        <v/>
      </c>
      <c r="E192" s="13" t="str">
        <f t="shared" si="22"/>
        <v/>
      </c>
      <c r="F192" s="13" t="str">
        <f t="shared" si="23"/>
        <v/>
      </c>
      <c r="G192" s="13" t="str">
        <f t="shared" si="24"/>
        <v/>
      </c>
      <c r="H192" s="13" t="e">
        <f t="shared" si="25"/>
        <v>#VALUE!</v>
      </c>
      <c r="I192" s="47"/>
      <c r="J192" s="16">
        <f t="shared" si="26"/>
        <v>0</v>
      </c>
      <c r="K192" s="45" t="str">
        <f t="shared" si="27"/>
        <v>sábado</v>
      </c>
      <c r="L192" s="49"/>
      <c r="M192" s="50"/>
      <c r="N192" s="52">
        <f t="shared" si="28"/>
        <v>0</v>
      </c>
      <c r="O192" s="52">
        <f t="shared" si="29"/>
        <v>0</v>
      </c>
      <c r="P192" s="53">
        <f t="shared" si="30"/>
        <v>0</v>
      </c>
      <c r="Q192" s="54" t="str">
        <f t="shared" si="31"/>
        <v/>
      </c>
      <c r="R192" s="58" t="str">
        <f t="shared" si="32"/>
        <v/>
      </c>
      <c r="S192" s="80"/>
    </row>
    <row r="193" spans="1:19" s="44" customFormat="1">
      <c r="A193" s="15"/>
      <c r="B193" s="79"/>
      <c r="C193" s="18" t="str">
        <f>IF(B193="","",VLOOKUP(B193,'Tabla de proceso'!$B$6:$G$28,2,))</f>
        <v/>
      </c>
      <c r="D193" s="17" t="str">
        <f>IF(B193="","",VLOOKUP(B193,'Tabla de proceso'!$B$5:$G$28,3,0))</f>
        <v/>
      </c>
      <c r="E193" s="13" t="str">
        <f t="shared" si="22"/>
        <v/>
      </c>
      <c r="F193" s="13" t="str">
        <f t="shared" si="23"/>
        <v/>
      </c>
      <c r="G193" s="13" t="str">
        <f t="shared" si="24"/>
        <v/>
      </c>
      <c r="H193" s="13" t="e">
        <f t="shared" si="25"/>
        <v>#VALUE!</v>
      </c>
      <c r="I193" s="47"/>
      <c r="J193" s="16">
        <f t="shared" si="26"/>
        <v>0</v>
      </c>
      <c r="K193" s="45" t="str">
        <f t="shared" si="27"/>
        <v>sábado</v>
      </c>
      <c r="L193" s="49"/>
      <c r="M193" s="50"/>
      <c r="N193" s="52">
        <f t="shared" si="28"/>
        <v>0</v>
      </c>
      <c r="O193" s="52">
        <f t="shared" si="29"/>
        <v>0</v>
      </c>
      <c r="P193" s="53">
        <f t="shared" si="30"/>
        <v>0</v>
      </c>
      <c r="Q193" s="54" t="str">
        <f t="shared" si="31"/>
        <v/>
      </c>
      <c r="R193" s="58" t="str">
        <f t="shared" si="32"/>
        <v/>
      </c>
      <c r="S193" s="80"/>
    </row>
    <row r="194" spans="1:19" s="44" customFormat="1">
      <c r="A194" s="15"/>
      <c r="B194" s="79"/>
      <c r="C194" s="18" t="str">
        <f>IF(B194="","",VLOOKUP(B194,'Tabla de proceso'!$B$6:$G$28,2,))</f>
        <v/>
      </c>
      <c r="D194" s="17" t="str">
        <f>IF(B194="","",VLOOKUP(B194,'Tabla de proceso'!$B$5:$G$28,3,0))</f>
        <v/>
      </c>
      <c r="E194" s="13" t="str">
        <f t="shared" si="22"/>
        <v/>
      </c>
      <c r="F194" s="13" t="str">
        <f t="shared" si="23"/>
        <v/>
      </c>
      <c r="G194" s="13" t="str">
        <f t="shared" si="24"/>
        <v/>
      </c>
      <c r="H194" s="13" t="e">
        <f t="shared" si="25"/>
        <v>#VALUE!</v>
      </c>
      <c r="I194" s="47"/>
      <c r="J194" s="16">
        <f t="shared" si="26"/>
        <v>0</v>
      </c>
      <c r="K194" s="45" t="str">
        <f t="shared" si="27"/>
        <v>sábado</v>
      </c>
      <c r="L194" s="49"/>
      <c r="M194" s="50"/>
      <c r="N194" s="52">
        <f t="shared" si="28"/>
        <v>0</v>
      </c>
      <c r="O194" s="52">
        <f t="shared" si="29"/>
        <v>0</v>
      </c>
      <c r="P194" s="53">
        <f t="shared" si="30"/>
        <v>0</v>
      </c>
      <c r="Q194" s="54" t="str">
        <f t="shared" si="31"/>
        <v/>
      </c>
      <c r="R194" s="58" t="str">
        <f t="shared" si="32"/>
        <v/>
      </c>
      <c r="S194" s="80"/>
    </row>
    <row r="195" spans="1:19" s="44" customFormat="1">
      <c r="A195" s="15"/>
      <c r="B195" s="79"/>
      <c r="C195" s="18" t="str">
        <f>IF(B195="","",VLOOKUP(B195,'Tabla de proceso'!$B$6:$G$28,2,))</f>
        <v/>
      </c>
      <c r="D195" s="17" t="str">
        <f>IF(B195="","",VLOOKUP(B195,'Tabla de proceso'!$B$5:$G$28,3,0))</f>
        <v/>
      </c>
      <c r="E195" s="13" t="str">
        <f t="shared" si="22"/>
        <v/>
      </c>
      <c r="F195" s="13" t="str">
        <f t="shared" si="23"/>
        <v/>
      </c>
      <c r="G195" s="13" t="str">
        <f t="shared" si="24"/>
        <v/>
      </c>
      <c r="H195" s="13" t="e">
        <f t="shared" si="25"/>
        <v>#VALUE!</v>
      </c>
      <c r="I195" s="47"/>
      <c r="J195" s="16">
        <f t="shared" si="26"/>
        <v>0</v>
      </c>
      <c r="K195" s="45" t="str">
        <f t="shared" si="27"/>
        <v>sábado</v>
      </c>
      <c r="L195" s="49"/>
      <c r="M195" s="50"/>
      <c r="N195" s="52">
        <f t="shared" si="28"/>
        <v>0</v>
      </c>
      <c r="O195" s="52">
        <f t="shared" si="29"/>
        <v>0</v>
      </c>
      <c r="P195" s="53">
        <f t="shared" si="30"/>
        <v>0</v>
      </c>
      <c r="Q195" s="54" t="str">
        <f t="shared" si="31"/>
        <v/>
      </c>
      <c r="R195" s="58" t="str">
        <f t="shared" si="32"/>
        <v/>
      </c>
      <c r="S195" s="80"/>
    </row>
    <row r="196" spans="1:19" s="44" customFormat="1">
      <c r="A196" s="15"/>
      <c r="B196" s="79"/>
      <c r="C196" s="18" t="str">
        <f>IF(B196="","",VLOOKUP(B196,'Tabla de proceso'!$B$6:$G$28,2,))</f>
        <v/>
      </c>
      <c r="D196" s="17" t="str">
        <f>IF(B196="","",VLOOKUP(B196,'Tabla de proceso'!$B$5:$G$28,3,0))</f>
        <v/>
      </c>
      <c r="E196" s="13" t="str">
        <f t="shared" si="22"/>
        <v/>
      </c>
      <c r="F196" s="13" t="str">
        <f t="shared" si="23"/>
        <v/>
      </c>
      <c r="G196" s="13" t="str">
        <f t="shared" si="24"/>
        <v/>
      </c>
      <c r="H196" s="13" t="e">
        <f t="shared" si="25"/>
        <v>#VALUE!</v>
      </c>
      <c r="I196" s="47"/>
      <c r="J196" s="16">
        <f t="shared" si="26"/>
        <v>0</v>
      </c>
      <c r="K196" s="45" t="str">
        <f t="shared" si="27"/>
        <v>sábado</v>
      </c>
      <c r="L196" s="49"/>
      <c r="M196" s="50"/>
      <c r="N196" s="52">
        <f t="shared" si="28"/>
        <v>0</v>
      </c>
      <c r="O196" s="52">
        <f t="shared" si="29"/>
        <v>0</v>
      </c>
      <c r="P196" s="53">
        <f t="shared" si="30"/>
        <v>0</v>
      </c>
      <c r="Q196" s="54" t="str">
        <f t="shared" si="31"/>
        <v/>
      </c>
      <c r="R196" s="58" t="str">
        <f t="shared" si="32"/>
        <v/>
      </c>
      <c r="S196" s="80"/>
    </row>
    <row r="197" spans="1:19" s="44" customFormat="1">
      <c r="A197" s="15"/>
      <c r="B197" s="79"/>
      <c r="C197" s="18" t="str">
        <f>IF(B197="","",VLOOKUP(B197,'Tabla de proceso'!$B$6:$G$28,2,))</f>
        <v/>
      </c>
      <c r="D197" s="17" t="str">
        <f>IF(B197="","",VLOOKUP(B197,'Tabla de proceso'!$B$5:$G$28,3,0))</f>
        <v/>
      </c>
      <c r="E197" s="13" t="str">
        <f t="shared" si="22"/>
        <v/>
      </c>
      <c r="F197" s="13" t="str">
        <f t="shared" si="23"/>
        <v/>
      </c>
      <c r="G197" s="13" t="str">
        <f t="shared" si="24"/>
        <v/>
      </c>
      <c r="H197" s="13" t="e">
        <f t="shared" si="25"/>
        <v>#VALUE!</v>
      </c>
      <c r="I197" s="47"/>
      <c r="J197" s="16">
        <f t="shared" si="26"/>
        <v>0</v>
      </c>
      <c r="K197" s="45" t="str">
        <f t="shared" si="27"/>
        <v>sábado</v>
      </c>
      <c r="L197" s="49"/>
      <c r="M197" s="50"/>
      <c r="N197" s="52">
        <f t="shared" si="28"/>
        <v>0</v>
      </c>
      <c r="O197" s="52">
        <f t="shared" si="29"/>
        <v>0</v>
      </c>
      <c r="P197" s="53">
        <f t="shared" si="30"/>
        <v>0</v>
      </c>
      <c r="Q197" s="54" t="str">
        <f t="shared" si="31"/>
        <v/>
      </c>
      <c r="R197" s="58" t="str">
        <f t="shared" si="32"/>
        <v/>
      </c>
      <c r="S197" s="80"/>
    </row>
    <row r="198" spans="1:19" s="44" customFormat="1">
      <c r="A198" s="15"/>
      <c r="B198" s="79"/>
      <c r="C198" s="18" t="str">
        <f>IF(B198="","",VLOOKUP(B198,'Tabla de proceso'!$B$6:$G$28,2,))</f>
        <v/>
      </c>
      <c r="D198" s="17" t="str">
        <f>IF(B198="","",VLOOKUP(B198,'Tabla de proceso'!$B$5:$G$28,3,0))</f>
        <v/>
      </c>
      <c r="E198" s="13" t="str">
        <f t="shared" ref="E198:E261" si="33">D198</f>
        <v/>
      </c>
      <c r="F198" s="13" t="str">
        <f t="shared" ref="F198:F261" si="34">IF(E198="","",+$E198/9)</f>
        <v/>
      </c>
      <c r="G198" s="13" t="str">
        <f t="shared" ref="G198:G261" si="35">IF(E198="","",($E198/60)/9)</f>
        <v/>
      </c>
      <c r="H198" s="13" t="e">
        <f t="shared" ref="H198:H261" si="36">+$E198*5</f>
        <v>#VALUE!</v>
      </c>
      <c r="I198" s="47"/>
      <c r="J198" s="16">
        <f t="shared" ref="J198:J261" si="37">+WEEKNUM(I198)</f>
        <v>0</v>
      </c>
      <c r="K198" s="45" t="str">
        <f t="shared" ref="K198:K261" si="38">+TEXT($I198,"dddd")</f>
        <v>sábado</v>
      </c>
      <c r="L198" s="49"/>
      <c r="M198" s="50"/>
      <c r="N198" s="52">
        <f t="shared" ref="N198:N261" si="39">+HOUR($M198)</f>
        <v>0</v>
      </c>
      <c r="O198" s="52">
        <f t="shared" ref="O198:O261" si="40">+MINUTE($M198)</f>
        <v>0</v>
      </c>
      <c r="P198" s="53">
        <f t="shared" ref="P198:P261" si="41">+($N198*60)+$O198</f>
        <v>0</v>
      </c>
      <c r="Q198" s="54" t="str">
        <f t="shared" ref="Q198:Q261" si="42">IF(G198="","",+$G198*$P198)</f>
        <v/>
      </c>
      <c r="R198" s="58" t="str">
        <f t="shared" ref="R198:R261" si="43">IF($Q198="","",$L198/$Q198)</f>
        <v/>
      </c>
      <c r="S198" s="80"/>
    </row>
    <row r="199" spans="1:19" s="44" customFormat="1">
      <c r="A199" s="15"/>
      <c r="B199" s="79"/>
      <c r="C199" s="18" t="str">
        <f>IF(B199="","",VLOOKUP(B199,'Tabla de proceso'!$B$6:$G$28,2,))</f>
        <v/>
      </c>
      <c r="D199" s="17" t="str">
        <f>IF(B199="","",VLOOKUP(B199,'Tabla de proceso'!$B$5:$G$28,3,0))</f>
        <v/>
      </c>
      <c r="E199" s="13" t="str">
        <f t="shared" si="33"/>
        <v/>
      </c>
      <c r="F199" s="13" t="str">
        <f t="shared" si="34"/>
        <v/>
      </c>
      <c r="G199" s="13" t="str">
        <f t="shared" si="35"/>
        <v/>
      </c>
      <c r="H199" s="13" t="e">
        <f t="shared" si="36"/>
        <v>#VALUE!</v>
      </c>
      <c r="I199" s="47"/>
      <c r="J199" s="16">
        <f t="shared" si="37"/>
        <v>0</v>
      </c>
      <c r="K199" s="45" t="str">
        <f t="shared" si="38"/>
        <v>sábado</v>
      </c>
      <c r="L199" s="49"/>
      <c r="M199" s="50"/>
      <c r="N199" s="52">
        <f t="shared" si="39"/>
        <v>0</v>
      </c>
      <c r="O199" s="52">
        <f t="shared" si="40"/>
        <v>0</v>
      </c>
      <c r="P199" s="53">
        <f t="shared" si="41"/>
        <v>0</v>
      </c>
      <c r="Q199" s="54" t="str">
        <f t="shared" si="42"/>
        <v/>
      </c>
      <c r="R199" s="58" t="str">
        <f t="shared" si="43"/>
        <v/>
      </c>
      <c r="S199" s="80"/>
    </row>
    <row r="200" spans="1:19" s="44" customFormat="1">
      <c r="A200" s="15"/>
      <c r="B200" s="79"/>
      <c r="C200" s="18" t="str">
        <f>IF(B200="","",VLOOKUP(B200,'Tabla de proceso'!$B$6:$G$28,2,))</f>
        <v/>
      </c>
      <c r="D200" s="17" t="str">
        <f>IF(B200="","",VLOOKUP(B200,'Tabla de proceso'!$B$5:$G$28,3,0))</f>
        <v/>
      </c>
      <c r="E200" s="13" t="str">
        <f t="shared" si="33"/>
        <v/>
      </c>
      <c r="F200" s="13" t="str">
        <f t="shared" si="34"/>
        <v/>
      </c>
      <c r="G200" s="13" t="str">
        <f t="shared" si="35"/>
        <v/>
      </c>
      <c r="H200" s="13" t="e">
        <f t="shared" si="36"/>
        <v>#VALUE!</v>
      </c>
      <c r="I200" s="47"/>
      <c r="J200" s="16">
        <f t="shared" si="37"/>
        <v>0</v>
      </c>
      <c r="K200" s="45" t="str">
        <f t="shared" si="38"/>
        <v>sábado</v>
      </c>
      <c r="L200" s="49"/>
      <c r="M200" s="50"/>
      <c r="N200" s="52">
        <f t="shared" si="39"/>
        <v>0</v>
      </c>
      <c r="O200" s="52">
        <f t="shared" si="40"/>
        <v>0</v>
      </c>
      <c r="P200" s="53">
        <f t="shared" si="41"/>
        <v>0</v>
      </c>
      <c r="Q200" s="54" t="str">
        <f t="shared" si="42"/>
        <v/>
      </c>
      <c r="R200" s="58" t="str">
        <f t="shared" si="43"/>
        <v/>
      </c>
      <c r="S200" s="80"/>
    </row>
    <row r="201" spans="1:19" s="44" customFormat="1">
      <c r="A201" s="15"/>
      <c r="B201" s="79"/>
      <c r="C201" s="18" t="str">
        <f>IF(B201="","",VLOOKUP(B201,'Tabla de proceso'!$B$6:$G$28,2,))</f>
        <v/>
      </c>
      <c r="D201" s="17" t="str">
        <f>IF(B201="","",VLOOKUP(B201,'Tabla de proceso'!$B$5:$G$28,3,0))</f>
        <v/>
      </c>
      <c r="E201" s="13" t="str">
        <f t="shared" si="33"/>
        <v/>
      </c>
      <c r="F201" s="13" t="str">
        <f t="shared" si="34"/>
        <v/>
      </c>
      <c r="G201" s="13" t="str">
        <f t="shared" si="35"/>
        <v/>
      </c>
      <c r="H201" s="13" t="e">
        <f t="shared" si="36"/>
        <v>#VALUE!</v>
      </c>
      <c r="I201" s="47"/>
      <c r="J201" s="16">
        <f t="shared" si="37"/>
        <v>0</v>
      </c>
      <c r="K201" s="45" t="str">
        <f t="shared" si="38"/>
        <v>sábado</v>
      </c>
      <c r="L201" s="49"/>
      <c r="M201" s="50"/>
      <c r="N201" s="52">
        <f t="shared" si="39"/>
        <v>0</v>
      </c>
      <c r="O201" s="52">
        <f t="shared" si="40"/>
        <v>0</v>
      </c>
      <c r="P201" s="53">
        <f t="shared" si="41"/>
        <v>0</v>
      </c>
      <c r="Q201" s="54" t="str">
        <f t="shared" si="42"/>
        <v/>
      </c>
      <c r="R201" s="58" t="str">
        <f t="shared" si="43"/>
        <v/>
      </c>
      <c r="S201" s="80"/>
    </row>
    <row r="202" spans="1:19" s="44" customFormat="1">
      <c r="A202" s="15"/>
      <c r="B202" s="79"/>
      <c r="C202" s="18" t="str">
        <f>IF(B202="","",VLOOKUP(B202,'Tabla de proceso'!$B$6:$G$28,2,))</f>
        <v/>
      </c>
      <c r="D202" s="17" t="str">
        <f>IF(B202="","",VLOOKUP(B202,'Tabla de proceso'!$B$5:$G$28,3,0))</f>
        <v/>
      </c>
      <c r="E202" s="13" t="str">
        <f t="shared" si="33"/>
        <v/>
      </c>
      <c r="F202" s="13" t="str">
        <f t="shared" si="34"/>
        <v/>
      </c>
      <c r="G202" s="13" t="str">
        <f t="shared" si="35"/>
        <v/>
      </c>
      <c r="H202" s="13" t="e">
        <f t="shared" si="36"/>
        <v>#VALUE!</v>
      </c>
      <c r="I202" s="47"/>
      <c r="J202" s="16">
        <f t="shared" si="37"/>
        <v>0</v>
      </c>
      <c r="K202" s="45" t="str">
        <f t="shared" si="38"/>
        <v>sábado</v>
      </c>
      <c r="L202" s="49"/>
      <c r="M202" s="50"/>
      <c r="N202" s="52">
        <f t="shared" si="39"/>
        <v>0</v>
      </c>
      <c r="O202" s="52">
        <f t="shared" si="40"/>
        <v>0</v>
      </c>
      <c r="P202" s="53">
        <f t="shared" si="41"/>
        <v>0</v>
      </c>
      <c r="Q202" s="54" t="str">
        <f t="shared" si="42"/>
        <v/>
      </c>
      <c r="R202" s="58" t="str">
        <f t="shared" si="43"/>
        <v/>
      </c>
      <c r="S202" s="80"/>
    </row>
    <row r="203" spans="1:19" s="44" customFormat="1">
      <c r="A203" s="15"/>
      <c r="B203" s="79"/>
      <c r="C203" s="18" t="str">
        <f>IF(B203="","",VLOOKUP(B203,'Tabla de proceso'!$B$6:$G$28,2,))</f>
        <v/>
      </c>
      <c r="D203" s="17" t="str">
        <f>IF(B203="","",VLOOKUP(B203,'Tabla de proceso'!$B$5:$G$28,3,0))</f>
        <v/>
      </c>
      <c r="E203" s="13" t="str">
        <f t="shared" si="33"/>
        <v/>
      </c>
      <c r="F203" s="13" t="str">
        <f t="shared" si="34"/>
        <v/>
      </c>
      <c r="G203" s="13" t="str">
        <f t="shared" si="35"/>
        <v/>
      </c>
      <c r="H203" s="13" t="e">
        <f t="shared" si="36"/>
        <v>#VALUE!</v>
      </c>
      <c r="I203" s="47"/>
      <c r="J203" s="16">
        <f t="shared" si="37"/>
        <v>0</v>
      </c>
      <c r="K203" s="45" t="str">
        <f t="shared" si="38"/>
        <v>sábado</v>
      </c>
      <c r="L203" s="49"/>
      <c r="M203" s="50"/>
      <c r="N203" s="52">
        <f t="shared" si="39"/>
        <v>0</v>
      </c>
      <c r="O203" s="52">
        <f t="shared" si="40"/>
        <v>0</v>
      </c>
      <c r="P203" s="53">
        <f t="shared" si="41"/>
        <v>0</v>
      </c>
      <c r="Q203" s="54" t="str">
        <f t="shared" si="42"/>
        <v/>
      </c>
      <c r="R203" s="58" t="str">
        <f t="shared" si="43"/>
        <v/>
      </c>
      <c r="S203" s="80"/>
    </row>
    <row r="204" spans="1:19" s="44" customFormat="1">
      <c r="A204" s="15"/>
      <c r="B204" s="79"/>
      <c r="C204" s="18" t="str">
        <f>IF(B204="","",VLOOKUP(B204,'Tabla de proceso'!$B$6:$G$28,2,))</f>
        <v/>
      </c>
      <c r="D204" s="17" t="str">
        <f>IF(B204="","",VLOOKUP(B204,'Tabla de proceso'!$B$5:$G$28,3,0))</f>
        <v/>
      </c>
      <c r="E204" s="13" t="str">
        <f t="shared" si="33"/>
        <v/>
      </c>
      <c r="F204" s="13" t="str">
        <f t="shared" si="34"/>
        <v/>
      </c>
      <c r="G204" s="13" t="str">
        <f t="shared" si="35"/>
        <v/>
      </c>
      <c r="H204" s="13" t="e">
        <f t="shared" si="36"/>
        <v>#VALUE!</v>
      </c>
      <c r="I204" s="47"/>
      <c r="J204" s="16">
        <f t="shared" si="37"/>
        <v>0</v>
      </c>
      <c r="K204" s="45" t="str">
        <f t="shared" si="38"/>
        <v>sábado</v>
      </c>
      <c r="L204" s="49"/>
      <c r="M204" s="50"/>
      <c r="N204" s="52">
        <f t="shared" si="39"/>
        <v>0</v>
      </c>
      <c r="O204" s="52">
        <f t="shared" si="40"/>
        <v>0</v>
      </c>
      <c r="P204" s="53">
        <f t="shared" si="41"/>
        <v>0</v>
      </c>
      <c r="Q204" s="54" t="str">
        <f t="shared" si="42"/>
        <v/>
      </c>
      <c r="R204" s="58" t="str">
        <f t="shared" si="43"/>
        <v/>
      </c>
      <c r="S204" s="80"/>
    </row>
    <row r="205" spans="1:19" s="44" customFormat="1">
      <c r="A205" s="15"/>
      <c r="B205" s="79"/>
      <c r="C205" s="18" t="str">
        <f>IF(B205="","",VLOOKUP(B205,'Tabla de proceso'!$B$6:$G$28,2,))</f>
        <v/>
      </c>
      <c r="D205" s="17" t="str">
        <f>IF(B205="","",VLOOKUP(B205,'Tabla de proceso'!$B$5:$G$28,3,0))</f>
        <v/>
      </c>
      <c r="E205" s="13" t="str">
        <f t="shared" si="33"/>
        <v/>
      </c>
      <c r="F205" s="13" t="str">
        <f t="shared" si="34"/>
        <v/>
      </c>
      <c r="G205" s="13" t="str">
        <f t="shared" si="35"/>
        <v/>
      </c>
      <c r="H205" s="13" t="e">
        <f t="shared" si="36"/>
        <v>#VALUE!</v>
      </c>
      <c r="I205" s="47"/>
      <c r="J205" s="16">
        <f t="shared" si="37"/>
        <v>0</v>
      </c>
      <c r="K205" s="45" t="str">
        <f t="shared" si="38"/>
        <v>sábado</v>
      </c>
      <c r="L205" s="49"/>
      <c r="M205" s="50"/>
      <c r="N205" s="52">
        <f t="shared" si="39"/>
        <v>0</v>
      </c>
      <c r="O205" s="52">
        <f t="shared" si="40"/>
        <v>0</v>
      </c>
      <c r="P205" s="53">
        <f t="shared" si="41"/>
        <v>0</v>
      </c>
      <c r="Q205" s="54" t="str">
        <f t="shared" si="42"/>
        <v/>
      </c>
      <c r="R205" s="58" t="str">
        <f t="shared" si="43"/>
        <v/>
      </c>
      <c r="S205" s="80"/>
    </row>
    <row r="206" spans="1:19" s="44" customFormat="1">
      <c r="A206" s="15"/>
      <c r="B206" s="79"/>
      <c r="C206" s="18" t="str">
        <f>IF(B206="","",VLOOKUP(B206,'Tabla de proceso'!$B$6:$G$28,2,))</f>
        <v/>
      </c>
      <c r="D206" s="17" t="str">
        <f>IF(B206="","",VLOOKUP(B206,'Tabla de proceso'!$B$5:$G$28,3,0))</f>
        <v/>
      </c>
      <c r="E206" s="13" t="str">
        <f t="shared" si="33"/>
        <v/>
      </c>
      <c r="F206" s="13" t="str">
        <f t="shared" si="34"/>
        <v/>
      </c>
      <c r="G206" s="13" t="str">
        <f t="shared" si="35"/>
        <v/>
      </c>
      <c r="H206" s="13" t="e">
        <f t="shared" si="36"/>
        <v>#VALUE!</v>
      </c>
      <c r="I206" s="47"/>
      <c r="J206" s="16">
        <f t="shared" si="37"/>
        <v>0</v>
      </c>
      <c r="K206" s="45" t="str">
        <f t="shared" si="38"/>
        <v>sábado</v>
      </c>
      <c r="L206" s="49"/>
      <c r="M206" s="50"/>
      <c r="N206" s="52">
        <f t="shared" si="39"/>
        <v>0</v>
      </c>
      <c r="O206" s="52">
        <f t="shared" si="40"/>
        <v>0</v>
      </c>
      <c r="P206" s="53">
        <f t="shared" si="41"/>
        <v>0</v>
      </c>
      <c r="Q206" s="54" t="str">
        <f t="shared" si="42"/>
        <v/>
      </c>
      <c r="R206" s="58" t="str">
        <f t="shared" si="43"/>
        <v/>
      </c>
      <c r="S206" s="80"/>
    </row>
    <row r="207" spans="1:19" s="44" customFormat="1">
      <c r="A207" s="15"/>
      <c r="B207" s="79"/>
      <c r="C207" s="18" t="str">
        <f>IF(B207="","",VLOOKUP(B207,'Tabla de proceso'!$B$6:$G$28,2,))</f>
        <v/>
      </c>
      <c r="D207" s="17" t="str">
        <f>IF(B207="","",VLOOKUP(B207,'Tabla de proceso'!$B$5:$G$28,3,0))</f>
        <v/>
      </c>
      <c r="E207" s="13" t="str">
        <f t="shared" si="33"/>
        <v/>
      </c>
      <c r="F207" s="13" t="str">
        <f t="shared" si="34"/>
        <v/>
      </c>
      <c r="G207" s="13" t="str">
        <f t="shared" si="35"/>
        <v/>
      </c>
      <c r="H207" s="13" t="e">
        <f t="shared" si="36"/>
        <v>#VALUE!</v>
      </c>
      <c r="I207" s="47"/>
      <c r="J207" s="16">
        <f t="shared" si="37"/>
        <v>0</v>
      </c>
      <c r="K207" s="45" t="str">
        <f t="shared" si="38"/>
        <v>sábado</v>
      </c>
      <c r="L207" s="49"/>
      <c r="M207" s="50"/>
      <c r="N207" s="52">
        <f t="shared" si="39"/>
        <v>0</v>
      </c>
      <c r="O207" s="52">
        <f t="shared" si="40"/>
        <v>0</v>
      </c>
      <c r="P207" s="53">
        <f t="shared" si="41"/>
        <v>0</v>
      </c>
      <c r="Q207" s="54" t="str">
        <f t="shared" si="42"/>
        <v/>
      </c>
      <c r="R207" s="58" t="str">
        <f t="shared" si="43"/>
        <v/>
      </c>
      <c r="S207" s="80"/>
    </row>
    <row r="208" spans="1:19" s="44" customFormat="1">
      <c r="A208" s="15"/>
      <c r="B208" s="79"/>
      <c r="C208" s="18" t="str">
        <f>IF(B208="","",VLOOKUP(B208,'Tabla de proceso'!$B$6:$G$28,2,))</f>
        <v/>
      </c>
      <c r="D208" s="17" t="str">
        <f>IF(B208="","",VLOOKUP(B208,'Tabla de proceso'!$B$5:$G$28,3,0))</f>
        <v/>
      </c>
      <c r="E208" s="13" t="str">
        <f t="shared" si="33"/>
        <v/>
      </c>
      <c r="F208" s="13" t="str">
        <f t="shared" si="34"/>
        <v/>
      </c>
      <c r="G208" s="13" t="str">
        <f t="shared" si="35"/>
        <v/>
      </c>
      <c r="H208" s="13" t="e">
        <f t="shared" si="36"/>
        <v>#VALUE!</v>
      </c>
      <c r="I208" s="47"/>
      <c r="J208" s="16">
        <f t="shared" si="37"/>
        <v>0</v>
      </c>
      <c r="K208" s="45" t="str">
        <f t="shared" si="38"/>
        <v>sábado</v>
      </c>
      <c r="L208" s="49"/>
      <c r="M208" s="50"/>
      <c r="N208" s="52">
        <f t="shared" si="39"/>
        <v>0</v>
      </c>
      <c r="O208" s="52">
        <f t="shared" si="40"/>
        <v>0</v>
      </c>
      <c r="P208" s="53">
        <f t="shared" si="41"/>
        <v>0</v>
      </c>
      <c r="Q208" s="54" t="str">
        <f t="shared" si="42"/>
        <v/>
      </c>
      <c r="R208" s="58" t="str">
        <f t="shared" si="43"/>
        <v/>
      </c>
      <c r="S208" s="80"/>
    </row>
    <row r="209" spans="1:19" s="44" customFormat="1">
      <c r="A209" s="15"/>
      <c r="B209" s="79"/>
      <c r="C209" s="18" t="str">
        <f>IF(B209="","",VLOOKUP(B209,'Tabla de proceso'!$B$6:$G$28,2,))</f>
        <v/>
      </c>
      <c r="D209" s="17" t="str">
        <f>IF(B209="","",VLOOKUP(B209,'Tabla de proceso'!$B$5:$G$28,3,0))</f>
        <v/>
      </c>
      <c r="E209" s="13" t="str">
        <f t="shared" si="33"/>
        <v/>
      </c>
      <c r="F209" s="13" t="str">
        <f t="shared" si="34"/>
        <v/>
      </c>
      <c r="G209" s="13" t="str">
        <f t="shared" si="35"/>
        <v/>
      </c>
      <c r="H209" s="13" t="e">
        <f t="shared" si="36"/>
        <v>#VALUE!</v>
      </c>
      <c r="I209" s="47"/>
      <c r="J209" s="16">
        <f t="shared" si="37"/>
        <v>0</v>
      </c>
      <c r="K209" s="45" t="str">
        <f t="shared" si="38"/>
        <v>sábado</v>
      </c>
      <c r="L209" s="49"/>
      <c r="M209" s="50"/>
      <c r="N209" s="52">
        <f t="shared" si="39"/>
        <v>0</v>
      </c>
      <c r="O209" s="52">
        <f t="shared" si="40"/>
        <v>0</v>
      </c>
      <c r="P209" s="53">
        <f t="shared" si="41"/>
        <v>0</v>
      </c>
      <c r="Q209" s="54" t="str">
        <f t="shared" si="42"/>
        <v/>
      </c>
      <c r="R209" s="58" t="str">
        <f t="shared" si="43"/>
        <v/>
      </c>
      <c r="S209" s="80"/>
    </row>
    <row r="210" spans="1:19" s="44" customFormat="1">
      <c r="A210" s="15"/>
      <c r="B210" s="79"/>
      <c r="C210" s="18" t="str">
        <f>IF(B210="","",VLOOKUP(B210,'Tabla de proceso'!$B$6:$G$28,2,))</f>
        <v/>
      </c>
      <c r="D210" s="17" t="str">
        <f>IF(B210="","",VLOOKUP(B210,'Tabla de proceso'!$B$5:$G$28,3,0))</f>
        <v/>
      </c>
      <c r="E210" s="13" t="str">
        <f t="shared" si="33"/>
        <v/>
      </c>
      <c r="F210" s="13" t="str">
        <f t="shared" si="34"/>
        <v/>
      </c>
      <c r="G210" s="13" t="str">
        <f t="shared" si="35"/>
        <v/>
      </c>
      <c r="H210" s="13" t="e">
        <f t="shared" si="36"/>
        <v>#VALUE!</v>
      </c>
      <c r="I210" s="47"/>
      <c r="J210" s="16">
        <f t="shared" si="37"/>
        <v>0</v>
      </c>
      <c r="K210" s="45" t="str">
        <f t="shared" si="38"/>
        <v>sábado</v>
      </c>
      <c r="L210" s="49"/>
      <c r="M210" s="50"/>
      <c r="N210" s="52">
        <f t="shared" si="39"/>
        <v>0</v>
      </c>
      <c r="O210" s="52">
        <f t="shared" si="40"/>
        <v>0</v>
      </c>
      <c r="P210" s="53">
        <f t="shared" si="41"/>
        <v>0</v>
      </c>
      <c r="Q210" s="54" t="str">
        <f t="shared" si="42"/>
        <v/>
      </c>
      <c r="R210" s="58" t="str">
        <f t="shared" si="43"/>
        <v/>
      </c>
      <c r="S210" s="80"/>
    </row>
    <row r="211" spans="1:19" s="44" customFormat="1">
      <c r="A211" s="15"/>
      <c r="B211" s="79"/>
      <c r="C211" s="18" t="str">
        <f>IF(B211="","",VLOOKUP(B211,'Tabla de proceso'!$B$6:$G$28,2,))</f>
        <v/>
      </c>
      <c r="D211" s="17" t="str">
        <f>IF(B211="","",VLOOKUP(B211,'Tabla de proceso'!$B$5:$G$28,3,0))</f>
        <v/>
      </c>
      <c r="E211" s="13" t="str">
        <f t="shared" si="33"/>
        <v/>
      </c>
      <c r="F211" s="13" t="str">
        <f t="shared" si="34"/>
        <v/>
      </c>
      <c r="G211" s="13" t="str">
        <f t="shared" si="35"/>
        <v/>
      </c>
      <c r="H211" s="13" t="e">
        <f t="shared" si="36"/>
        <v>#VALUE!</v>
      </c>
      <c r="I211" s="47"/>
      <c r="J211" s="16">
        <f t="shared" si="37"/>
        <v>0</v>
      </c>
      <c r="K211" s="45" t="str">
        <f t="shared" si="38"/>
        <v>sábado</v>
      </c>
      <c r="L211" s="49"/>
      <c r="M211" s="50"/>
      <c r="N211" s="52">
        <f t="shared" si="39"/>
        <v>0</v>
      </c>
      <c r="O211" s="52">
        <f t="shared" si="40"/>
        <v>0</v>
      </c>
      <c r="P211" s="53">
        <f t="shared" si="41"/>
        <v>0</v>
      </c>
      <c r="Q211" s="54" t="str">
        <f t="shared" si="42"/>
        <v/>
      </c>
      <c r="R211" s="58" t="str">
        <f t="shared" si="43"/>
        <v/>
      </c>
      <c r="S211" s="80"/>
    </row>
    <row r="212" spans="1:19" s="44" customFormat="1">
      <c r="A212" s="15"/>
      <c r="B212" s="79"/>
      <c r="C212" s="18" t="str">
        <f>IF(B212="","",VLOOKUP(B212,'Tabla de proceso'!$B$6:$G$28,2,))</f>
        <v/>
      </c>
      <c r="D212" s="17" t="str">
        <f>IF(B212="","",VLOOKUP(B212,'Tabla de proceso'!$B$5:$G$28,3,0))</f>
        <v/>
      </c>
      <c r="E212" s="13" t="str">
        <f t="shared" si="33"/>
        <v/>
      </c>
      <c r="F212" s="13" t="str">
        <f t="shared" si="34"/>
        <v/>
      </c>
      <c r="G212" s="13" t="str">
        <f t="shared" si="35"/>
        <v/>
      </c>
      <c r="H212" s="13" t="e">
        <f t="shared" si="36"/>
        <v>#VALUE!</v>
      </c>
      <c r="I212" s="47"/>
      <c r="J212" s="16">
        <f t="shared" si="37"/>
        <v>0</v>
      </c>
      <c r="K212" s="45" t="str">
        <f t="shared" si="38"/>
        <v>sábado</v>
      </c>
      <c r="L212" s="49"/>
      <c r="M212" s="50"/>
      <c r="N212" s="52">
        <f t="shared" si="39"/>
        <v>0</v>
      </c>
      <c r="O212" s="52">
        <f t="shared" si="40"/>
        <v>0</v>
      </c>
      <c r="P212" s="53">
        <f t="shared" si="41"/>
        <v>0</v>
      </c>
      <c r="Q212" s="54" t="str">
        <f t="shared" si="42"/>
        <v/>
      </c>
      <c r="R212" s="58" t="str">
        <f t="shared" si="43"/>
        <v/>
      </c>
      <c r="S212" s="80"/>
    </row>
    <row r="213" spans="1:19" s="44" customFormat="1">
      <c r="A213" s="15"/>
      <c r="B213" s="79"/>
      <c r="C213" s="18" t="str">
        <f>IF(B213="","",VLOOKUP(B213,'Tabla de proceso'!$B$6:$G$28,2,))</f>
        <v/>
      </c>
      <c r="D213" s="17" t="str">
        <f>IF(B213="","",VLOOKUP(B213,'Tabla de proceso'!$B$5:$G$28,3,0))</f>
        <v/>
      </c>
      <c r="E213" s="13" t="str">
        <f t="shared" si="33"/>
        <v/>
      </c>
      <c r="F213" s="13" t="str">
        <f t="shared" si="34"/>
        <v/>
      </c>
      <c r="G213" s="13" t="str">
        <f t="shared" si="35"/>
        <v/>
      </c>
      <c r="H213" s="13" t="e">
        <f t="shared" si="36"/>
        <v>#VALUE!</v>
      </c>
      <c r="I213" s="47"/>
      <c r="J213" s="16">
        <f t="shared" si="37"/>
        <v>0</v>
      </c>
      <c r="K213" s="45" t="str">
        <f t="shared" si="38"/>
        <v>sábado</v>
      </c>
      <c r="L213" s="49"/>
      <c r="M213" s="50"/>
      <c r="N213" s="52">
        <f t="shared" si="39"/>
        <v>0</v>
      </c>
      <c r="O213" s="52">
        <f t="shared" si="40"/>
        <v>0</v>
      </c>
      <c r="P213" s="53">
        <f t="shared" si="41"/>
        <v>0</v>
      </c>
      <c r="Q213" s="54" t="str">
        <f t="shared" si="42"/>
        <v/>
      </c>
      <c r="R213" s="58" t="str">
        <f t="shared" si="43"/>
        <v/>
      </c>
      <c r="S213" s="80"/>
    </row>
    <row r="214" spans="1:19" s="44" customFormat="1">
      <c r="A214" s="15"/>
      <c r="B214" s="79"/>
      <c r="C214" s="18" t="str">
        <f>IF(B214="","",VLOOKUP(B214,'Tabla de proceso'!$B$6:$G$28,2,))</f>
        <v/>
      </c>
      <c r="D214" s="17" t="str">
        <f>IF(B214="","",VLOOKUP(B214,'Tabla de proceso'!$B$5:$G$28,3,0))</f>
        <v/>
      </c>
      <c r="E214" s="13" t="str">
        <f t="shared" si="33"/>
        <v/>
      </c>
      <c r="F214" s="13" t="str">
        <f t="shared" si="34"/>
        <v/>
      </c>
      <c r="G214" s="13" t="str">
        <f t="shared" si="35"/>
        <v/>
      </c>
      <c r="H214" s="13" t="e">
        <f t="shared" si="36"/>
        <v>#VALUE!</v>
      </c>
      <c r="I214" s="47"/>
      <c r="J214" s="16">
        <f t="shared" si="37"/>
        <v>0</v>
      </c>
      <c r="K214" s="45" t="str">
        <f t="shared" si="38"/>
        <v>sábado</v>
      </c>
      <c r="L214" s="49"/>
      <c r="M214" s="50"/>
      <c r="N214" s="52">
        <f t="shared" si="39"/>
        <v>0</v>
      </c>
      <c r="O214" s="52">
        <f t="shared" si="40"/>
        <v>0</v>
      </c>
      <c r="P214" s="53">
        <f t="shared" si="41"/>
        <v>0</v>
      </c>
      <c r="Q214" s="54" t="str">
        <f t="shared" si="42"/>
        <v/>
      </c>
      <c r="R214" s="58" t="str">
        <f t="shared" si="43"/>
        <v/>
      </c>
      <c r="S214" s="80"/>
    </row>
    <row r="215" spans="1:19" s="44" customFormat="1">
      <c r="A215" s="15"/>
      <c r="B215" s="79"/>
      <c r="C215" s="18" t="str">
        <f>IF(B215="","",VLOOKUP(B215,'Tabla de proceso'!$B$6:$G$28,2,))</f>
        <v/>
      </c>
      <c r="D215" s="17" t="str">
        <f>IF(B215="","",VLOOKUP(B215,'Tabla de proceso'!$B$5:$G$28,3,0))</f>
        <v/>
      </c>
      <c r="E215" s="13" t="str">
        <f t="shared" si="33"/>
        <v/>
      </c>
      <c r="F215" s="13" t="str">
        <f t="shared" si="34"/>
        <v/>
      </c>
      <c r="G215" s="13" t="str">
        <f t="shared" si="35"/>
        <v/>
      </c>
      <c r="H215" s="13" t="e">
        <f t="shared" si="36"/>
        <v>#VALUE!</v>
      </c>
      <c r="I215" s="47"/>
      <c r="J215" s="16">
        <f t="shared" si="37"/>
        <v>0</v>
      </c>
      <c r="K215" s="45" t="str">
        <f t="shared" si="38"/>
        <v>sábado</v>
      </c>
      <c r="L215" s="49"/>
      <c r="M215" s="50"/>
      <c r="N215" s="52">
        <f t="shared" si="39"/>
        <v>0</v>
      </c>
      <c r="O215" s="52">
        <f t="shared" si="40"/>
        <v>0</v>
      </c>
      <c r="P215" s="53">
        <f t="shared" si="41"/>
        <v>0</v>
      </c>
      <c r="Q215" s="54" t="str">
        <f t="shared" si="42"/>
        <v/>
      </c>
      <c r="R215" s="58" t="str">
        <f t="shared" si="43"/>
        <v/>
      </c>
      <c r="S215" s="80"/>
    </row>
    <row r="216" spans="1:19" s="44" customFormat="1">
      <c r="A216" s="15"/>
      <c r="B216" s="79"/>
      <c r="C216" s="18" t="str">
        <f>IF(B216="","",VLOOKUP(B216,'Tabla de proceso'!$B$6:$G$28,2,))</f>
        <v/>
      </c>
      <c r="D216" s="17" t="str">
        <f>IF(B216="","",VLOOKUP(B216,'Tabla de proceso'!$B$5:$G$28,3,0))</f>
        <v/>
      </c>
      <c r="E216" s="13" t="str">
        <f t="shared" si="33"/>
        <v/>
      </c>
      <c r="F216" s="13" t="str">
        <f t="shared" si="34"/>
        <v/>
      </c>
      <c r="G216" s="13" t="str">
        <f t="shared" si="35"/>
        <v/>
      </c>
      <c r="H216" s="13" t="e">
        <f t="shared" si="36"/>
        <v>#VALUE!</v>
      </c>
      <c r="I216" s="47"/>
      <c r="J216" s="16">
        <f t="shared" si="37"/>
        <v>0</v>
      </c>
      <c r="K216" s="45" t="str">
        <f t="shared" si="38"/>
        <v>sábado</v>
      </c>
      <c r="L216" s="49"/>
      <c r="M216" s="50"/>
      <c r="N216" s="52">
        <f t="shared" si="39"/>
        <v>0</v>
      </c>
      <c r="O216" s="52">
        <f t="shared" si="40"/>
        <v>0</v>
      </c>
      <c r="P216" s="53">
        <f t="shared" si="41"/>
        <v>0</v>
      </c>
      <c r="Q216" s="54" t="str">
        <f t="shared" si="42"/>
        <v/>
      </c>
      <c r="R216" s="58" t="str">
        <f t="shared" si="43"/>
        <v/>
      </c>
      <c r="S216" s="80"/>
    </row>
    <row r="217" spans="1:19" s="44" customFormat="1">
      <c r="A217" s="15"/>
      <c r="B217" s="79"/>
      <c r="C217" s="18" t="str">
        <f>IF(B217="","",VLOOKUP(B217,'Tabla de proceso'!$B$6:$G$28,2,))</f>
        <v/>
      </c>
      <c r="D217" s="17" t="str">
        <f>IF(B217="","",VLOOKUP(B217,'Tabla de proceso'!$B$5:$G$28,3,0))</f>
        <v/>
      </c>
      <c r="E217" s="13" t="str">
        <f t="shared" si="33"/>
        <v/>
      </c>
      <c r="F217" s="13" t="str">
        <f t="shared" si="34"/>
        <v/>
      </c>
      <c r="G217" s="13" t="str">
        <f t="shared" si="35"/>
        <v/>
      </c>
      <c r="H217" s="13" t="e">
        <f t="shared" si="36"/>
        <v>#VALUE!</v>
      </c>
      <c r="I217" s="47"/>
      <c r="J217" s="16">
        <f t="shared" si="37"/>
        <v>0</v>
      </c>
      <c r="K217" s="45" t="str">
        <f t="shared" si="38"/>
        <v>sábado</v>
      </c>
      <c r="L217" s="49"/>
      <c r="M217" s="50"/>
      <c r="N217" s="52">
        <f t="shared" si="39"/>
        <v>0</v>
      </c>
      <c r="O217" s="52">
        <f t="shared" si="40"/>
        <v>0</v>
      </c>
      <c r="P217" s="53">
        <f t="shared" si="41"/>
        <v>0</v>
      </c>
      <c r="Q217" s="54" t="str">
        <f t="shared" si="42"/>
        <v/>
      </c>
      <c r="R217" s="58" t="str">
        <f t="shared" si="43"/>
        <v/>
      </c>
      <c r="S217" s="80"/>
    </row>
    <row r="218" spans="1:19" s="44" customFormat="1">
      <c r="A218" s="15"/>
      <c r="B218" s="79"/>
      <c r="C218" s="18" t="str">
        <f>IF(B218="","",VLOOKUP(B218,'Tabla de proceso'!$B$6:$G$28,2,))</f>
        <v/>
      </c>
      <c r="D218" s="17" t="str">
        <f>IF(B218="","",VLOOKUP(B218,'Tabla de proceso'!$B$5:$G$28,3,0))</f>
        <v/>
      </c>
      <c r="E218" s="13" t="str">
        <f t="shared" si="33"/>
        <v/>
      </c>
      <c r="F218" s="13" t="str">
        <f t="shared" si="34"/>
        <v/>
      </c>
      <c r="G218" s="13" t="str">
        <f t="shared" si="35"/>
        <v/>
      </c>
      <c r="H218" s="13" t="e">
        <f t="shared" si="36"/>
        <v>#VALUE!</v>
      </c>
      <c r="I218" s="47"/>
      <c r="J218" s="16">
        <f t="shared" si="37"/>
        <v>0</v>
      </c>
      <c r="K218" s="45" t="str">
        <f t="shared" si="38"/>
        <v>sábado</v>
      </c>
      <c r="L218" s="49"/>
      <c r="M218" s="50"/>
      <c r="N218" s="52">
        <f t="shared" si="39"/>
        <v>0</v>
      </c>
      <c r="O218" s="52">
        <f t="shared" si="40"/>
        <v>0</v>
      </c>
      <c r="P218" s="53">
        <f t="shared" si="41"/>
        <v>0</v>
      </c>
      <c r="Q218" s="54" t="str">
        <f t="shared" si="42"/>
        <v/>
      </c>
      <c r="R218" s="58" t="str">
        <f t="shared" si="43"/>
        <v/>
      </c>
      <c r="S218" s="80"/>
    </row>
    <row r="219" spans="1:19" s="44" customFormat="1">
      <c r="A219" s="15"/>
      <c r="B219" s="79"/>
      <c r="C219" s="18" t="str">
        <f>IF(B219="","",VLOOKUP(B219,'Tabla de proceso'!$B$6:$G$28,2,))</f>
        <v/>
      </c>
      <c r="D219" s="17" t="str">
        <f>IF(B219="","",VLOOKUP(B219,'Tabla de proceso'!$B$5:$G$28,3,0))</f>
        <v/>
      </c>
      <c r="E219" s="13" t="str">
        <f t="shared" si="33"/>
        <v/>
      </c>
      <c r="F219" s="13" t="str">
        <f t="shared" si="34"/>
        <v/>
      </c>
      <c r="G219" s="13" t="str">
        <f t="shared" si="35"/>
        <v/>
      </c>
      <c r="H219" s="13" t="e">
        <f t="shared" si="36"/>
        <v>#VALUE!</v>
      </c>
      <c r="I219" s="47"/>
      <c r="J219" s="16">
        <f t="shared" si="37"/>
        <v>0</v>
      </c>
      <c r="K219" s="45" t="str">
        <f t="shared" si="38"/>
        <v>sábado</v>
      </c>
      <c r="L219" s="49"/>
      <c r="M219" s="50"/>
      <c r="N219" s="52">
        <f t="shared" si="39"/>
        <v>0</v>
      </c>
      <c r="O219" s="52">
        <f t="shared" si="40"/>
        <v>0</v>
      </c>
      <c r="P219" s="53">
        <f t="shared" si="41"/>
        <v>0</v>
      </c>
      <c r="Q219" s="54" t="str">
        <f t="shared" si="42"/>
        <v/>
      </c>
      <c r="R219" s="58" t="str">
        <f t="shared" si="43"/>
        <v/>
      </c>
      <c r="S219" s="80"/>
    </row>
    <row r="220" spans="1:19" s="44" customFormat="1">
      <c r="A220" s="15"/>
      <c r="B220" s="79"/>
      <c r="C220" s="18" t="str">
        <f>IF(B220="","",VLOOKUP(B220,'Tabla de proceso'!$B$6:$G$28,2,))</f>
        <v/>
      </c>
      <c r="D220" s="17" t="str">
        <f>IF(B220="","",VLOOKUP(B220,'Tabla de proceso'!$B$5:$G$28,3,0))</f>
        <v/>
      </c>
      <c r="E220" s="13" t="str">
        <f t="shared" si="33"/>
        <v/>
      </c>
      <c r="F220" s="13" t="str">
        <f t="shared" si="34"/>
        <v/>
      </c>
      <c r="G220" s="13" t="str">
        <f t="shared" si="35"/>
        <v/>
      </c>
      <c r="H220" s="13" t="e">
        <f t="shared" si="36"/>
        <v>#VALUE!</v>
      </c>
      <c r="I220" s="47"/>
      <c r="J220" s="16">
        <f t="shared" si="37"/>
        <v>0</v>
      </c>
      <c r="K220" s="45" t="str">
        <f t="shared" si="38"/>
        <v>sábado</v>
      </c>
      <c r="L220" s="49"/>
      <c r="M220" s="50"/>
      <c r="N220" s="52">
        <f t="shared" si="39"/>
        <v>0</v>
      </c>
      <c r="O220" s="52">
        <f t="shared" si="40"/>
        <v>0</v>
      </c>
      <c r="P220" s="53">
        <f t="shared" si="41"/>
        <v>0</v>
      </c>
      <c r="Q220" s="54" t="str">
        <f t="shared" si="42"/>
        <v/>
      </c>
      <c r="R220" s="58" t="str">
        <f t="shared" si="43"/>
        <v/>
      </c>
      <c r="S220" s="80"/>
    </row>
    <row r="221" spans="1:19" s="44" customFormat="1">
      <c r="A221" s="15"/>
      <c r="B221" s="79"/>
      <c r="C221" s="18" t="str">
        <f>IF(B221="","",VLOOKUP(B221,'Tabla de proceso'!$B$6:$G$28,2,))</f>
        <v/>
      </c>
      <c r="D221" s="17" t="str">
        <f>IF(B221="","",VLOOKUP(B221,'Tabla de proceso'!$B$5:$G$28,3,0))</f>
        <v/>
      </c>
      <c r="E221" s="13" t="str">
        <f t="shared" si="33"/>
        <v/>
      </c>
      <c r="F221" s="13" t="str">
        <f t="shared" si="34"/>
        <v/>
      </c>
      <c r="G221" s="13" t="str">
        <f t="shared" si="35"/>
        <v/>
      </c>
      <c r="H221" s="13" t="e">
        <f t="shared" si="36"/>
        <v>#VALUE!</v>
      </c>
      <c r="I221" s="47"/>
      <c r="J221" s="16">
        <f t="shared" si="37"/>
        <v>0</v>
      </c>
      <c r="K221" s="45" t="str">
        <f t="shared" si="38"/>
        <v>sábado</v>
      </c>
      <c r="L221" s="49"/>
      <c r="M221" s="50"/>
      <c r="N221" s="52">
        <f t="shared" si="39"/>
        <v>0</v>
      </c>
      <c r="O221" s="52">
        <f t="shared" si="40"/>
        <v>0</v>
      </c>
      <c r="P221" s="53">
        <f t="shared" si="41"/>
        <v>0</v>
      </c>
      <c r="Q221" s="54" t="str">
        <f t="shared" si="42"/>
        <v/>
      </c>
      <c r="R221" s="58" t="str">
        <f t="shared" si="43"/>
        <v/>
      </c>
      <c r="S221" s="80"/>
    </row>
    <row r="222" spans="1:19" s="44" customFormat="1">
      <c r="A222" s="15"/>
      <c r="B222" s="79"/>
      <c r="C222" s="18" t="str">
        <f>IF(B222="","",VLOOKUP(B222,'Tabla de proceso'!$B$6:$G$28,2,))</f>
        <v/>
      </c>
      <c r="D222" s="17" t="str">
        <f>IF(B222="","",VLOOKUP(B222,'Tabla de proceso'!$B$5:$G$28,3,0))</f>
        <v/>
      </c>
      <c r="E222" s="13" t="str">
        <f t="shared" si="33"/>
        <v/>
      </c>
      <c r="F222" s="13" t="str">
        <f t="shared" si="34"/>
        <v/>
      </c>
      <c r="G222" s="13" t="str">
        <f t="shared" si="35"/>
        <v/>
      </c>
      <c r="H222" s="13" t="e">
        <f t="shared" si="36"/>
        <v>#VALUE!</v>
      </c>
      <c r="I222" s="47"/>
      <c r="J222" s="16">
        <f t="shared" si="37"/>
        <v>0</v>
      </c>
      <c r="K222" s="45" t="str">
        <f t="shared" si="38"/>
        <v>sábado</v>
      </c>
      <c r="L222" s="49"/>
      <c r="M222" s="50"/>
      <c r="N222" s="52">
        <f t="shared" si="39"/>
        <v>0</v>
      </c>
      <c r="O222" s="52">
        <f t="shared" si="40"/>
        <v>0</v>
      </c>
      <c r="P222" s="53">
        <f t="shared" si="41"/>
        <v>0</v>
      </c>
      <c r="Q222" s="54" t="str">
        <f t="shared" si="42"/>
        <v/>
      </c>
      <c r="R222" s="58" t="str">
        <f t="shared" si="43"/>
        <v/>
      </c>
      <c r="S222" s="80"/>
    </row>
    <row r="223" spans="1:19" s="44" customFormat="1">
      <c r="A223" s="15"/>
      <c r="B223" s="79"/>
      <c r="C223" s="18" t="str">
        <f>IF(B223="","",VLOOKUP(B223,'Tabla de proceso'!$B$6:$G$28,2,))</f>
        <v/>
      </c>
      <c r="D223" s="17" t="str">
        <f>IF(B223="","",VLOOKUP(B223,'Tabla de proceso'!$B$5:$G$28,3,0))</f>
        <v/>
      </c>
      <c r="E223" s="13" t="str">
        <f t="shared" si="33"/>
        <v/>
      </c>
      <c r="F223" s="13" t="str">
        <f t="shared" si="34"/>
        <v/>
      </c>
      <c r="G223" s="13" t="str">
        <f t="shared" si="35"/>
        <v/>
      </c>
      <c r="H223" s="13" t="e">
        <f t="shared" si="36"/>
        <v>#VALUE!</v>
      </c>
      <c r="I223" s="47"/>
      <c r="J223" s="16">
        <f t="shared" si="37"/>
        <v>0</v>
      </c>
      <c r="K223" s="45" t="str">
        <f t="shared" si="38"/>
        <v>sábado</v>
      </c>
      <c r="L223" s="49"/>
      <c r="M223" s="50"/>
      <c r="N223" s="52">
        <f t="shared" si="39"/>
        <v>0</v>
      </c>
      <c r="O223" s="52">
        <f t="shared" si="40"/>
        <v>0</v>
      </c>
      <c r="P223" s="53">
        <f t="shared" si="41"/>
        <v>0</v>
      </c>
      <c r="Q223" s="54" t="str">
        <f t="shared" si="42"/>
        <v/>
      </c>
      <c r="R223" s="58" t="str">
        <f t="shared" si="43"/>
        <v/>
      </c>
      <c r="S223" s="80"/>
    </row>
    <row r="224" spans="1:19" s="44" customFormat="1">
      <c r="A224" s="15"/>
      <c r="B224" s="79"/>
      <c r="C224" s="18" t="str">
        <f>IF(B224="","",VLOOKUP(B224,'Tabla de proceso'!$B$6:$G$28,2,))</f>
        <v/>
      </c>
      <c r="D224" s="17" t="str">
        <f>IF(B224="","",VLOOKUP(B224,'Tabla de proceso'!$B$5:$G$28,3,0))</f>
        <v/>
      </c>
      <c r="E224" s="13" t="str">
        <f t="shared" si="33"/>
        <v/>
      </c>
      <c r="F224" s="13" t="str">
        <f t="shared" si="34"/>
        <v/>
      </c>
      <c r="G224" s="13" t="str">
        <f t="shared" si="35"/>
        <v/>
      </c>
      <c r="H224" s="13" t="e">
        <f t="shared" si="36"/>
        <v>#VALUE!</v>
      </c>
      <c r="I224" s="47"/>
      <c r="J224" s="16">
        <f t="shared" si="37"/>
        <v>0</v>
      </c>
      <c r="K224" s="45" t="str">
        <f t="shared" si="38"/>
        <v>sábado</v>
      </c>
      <c r="L224" s="49"/>
      <c r="M224" s="50"/>
      <c r="N224" s="52">
        <f t="shared" si="39"/>
        <v>0</v>
      </c>
      <c r="O224" s="52">
        <f t="shared" si="40"/>
        <v>0</v>
      </c>
      <c r="P224" s="53">
        <f t="shared" si="41"/>
        <v>0</v>
      </c>
      <c r="Q224" s="54" t="str">
        <f t="shared" si="42"/>
        <v/>
      </c>
      <c r="R224" s="58" t="str">
        <f t="shared" si="43"/>
        <v/>
      </c>
      <c r="S224" s="80"/>
    </row>
    <row r="225" spans="1:19" s="44" customFormat="1">
      <c r="A225" s="15"/>
      <c r="B225" s="79"/>
      <c r="C225" s="18" t="str">
        <f>IF(B225="","",VLOOKUP(B225,'Tabla de proceso'!$B$6:$G$28,2,))</f>
        <v/>
      </c>
      <c r="D225" s="17" t="str">
        <f>IF(B225="","",VLOOKUP(B225,'Tabla de proceso'!$B$5:$G$28,3,0))</f>
        <v/>
      </c>
      <c r="E225" s="13" t="str">
        <f t="shared" si="33"/>
        <v/>
      </c>
      <c r="F225" s="13" t="str">
        <f t="shared" si="34"/>
        <v/>
      </c>
      <c r="G225" s="13" t="str">
        <f t="shared" si="35"/>
        <v/>
      </c>
      <c r="H225" s="13" t="e">
        <f t="shared" si="36"/>
        <v>#VALUE!</v>
      </c>
      <c r="I225" s="47"/>
      <c r="J225" s="16">
        <f t="shared" si="37"/>
        <v>0</v>
      </c>
      <c r="K225" s="45" t="str">
        <f t="shared" si="38"/>
        <v>sábado</v>
      </c>
      <c r="L225" s="49"/>
      <c r="M225" s="50"/>
      <c r="N225" s="52">
        <f t="shared" si="39"/>
        <v>0</v>
      </c>
      <c r="O225" s="52">
        <f t="shared" si="40"/>
        <v>0</v>
      </c>
      <c r="P225" s="53">
        <f t="shared" si="41"/>
        <v>0</v>
      </c>
      <c r="Q225" s="54" t="str">
        <f t="shared" si="42"/>
        <v/>
      </c>
      <c r="R225" s="58" t="str">
        <f t="shared" si="43"/>
        <v/>
      </c>
      <c r="S225" s="80"/>
    </row>
    <row r="226" spans="1:19" s="44" customFormat="1">
      <c r="A226" s="15"/>
      <c r="B226" s="79"/>
      <c r="C226" s="18" t="str">
        <f>IF(B226="","",VLOOKUP(B226,'Tabla de proceso'!$B$6:$G$28,2,))</f>
        <v/>
      </c>
      <c r="D226" s="17" t="str">
        <f>IF(B226="","",VLOOKUP(B226,'Tabla de proceso'!$B$5:$G$28,3,0))</f>
        <v/>
      </c>
      <c r="E226" s="13" t="str">
        <f t="shared" si="33"/>
        <v/>
      </c>
      <c r="F226" s="13" t="str">
        <f t="shared" si="34"/>
        <v/>
      </c>
      <c r="G226" s="13" t="str">
        <f t="shared" si="35"/>
        <v/>
      </c>
      <c r="H226" s="13" t="e">
        <f t="shared" si="36"/>
        <v>#VALUE!</v>
      </c>
      <c r="I226" s="47"/>
      <c r="J226" s="16">
        <f t="shared" si="37"/>
        <v>0</v>
      </c>
      <c r="K226" s="45" t="str">
        <f t="shared" si="38"/>
        <v>sábado</v>
      </c>
      <c r="L226" s="49"/>
      <c r="M226" s="50"/>
      <c r="N226" s="52">
        <f t="shared" si="39"/>
        <v>0</v>
      </c>
      <c r="O226" s="52">
        <f t="shared" si="40"/>
        <v>0</v>
      </c>
      <c r="P226" s="53">
        <f t="shared" si="41"/>
        <v>0</v>
      </c>
      <c r="Q226" s="54" t="str">
        <f t="shared" si="42"/>
        <v/>
      </c>
      <c r="R226" s="58" t="str">
        <f t="shared" si="43"/>
        <v/>
      </c>
      <c r="S226" s="80"/>
    </row>
    <row r="227" spans="1:19" s="44" customFormat="1">
      <c r="A227" s="15"/>
      <c r="B227" s="79"/>
      <c r="C227" s="18" t="str">
        <f>IF(B227="","",VLOOKUP(B227,'Tabla de proceso'!$B$6:$G$28,2,))</f>
        <v/>
      </c>
      <c r="D227" s="17" t="str">
        <f>IF(B227="","",VLOOKUP(B227,'Tabla de proceso'!$B$5:$G$28,3,0))</f>
        <v/>
      </c>
      <c r="E227" s="13" t="str">
        <f t="shared" si="33"/>
        <v/>
      </c>
      <c r="F227" s="13" t="str">
        <f t="shared" si="34"/>
        <v/>
      </c>
      <c r="G227" s="13" t="str">
        <f t="shared" si="35"/>
        <v/>
      </c>
      <c r="H227" s="13" t="e">
        <f t="shared" si="36"/>
        <v>#VALUE!</v>
      </c>
      <c r="I227" s="47"/>
      <c r="J227" s="16">
        <f t="shared" si="37"/>
        <v>0</v>
      </c>
      <c r="K227" s="45" t="str">
        <f t="shared" si="38"/>
        <v>sábado</v>
      </c>
      <c r="L227" s="49"/>
      <c r="M227" s="50"/>
      <c r="N227" s="52">
        <f t="shared" si="39"/>
        <v>0</v>
      </c>
      <c r="O227" s="52">
        <f t="shared" si="40"/>
        <v>0</v>
      </c>
      <c r="P227" s="53">
        <f t="shared" si="41"/>
        <v>0</v>
      </c>
      <c r="Q227" s="54" t="str">
        <f t="shared" si="42"/>
        <v/>
      </c>
      <c r="R227" s="58" t="str">
        <f t="shared" si="43"/>
        <v/>
      </c>
      <c r="S227" s="80"/>
    </row>
    <row r="228" spans="1:19" s="44" customFormat="1">
      <c r="A228" s="15"/>
      <c r="B228" s="79"/>
      <c r="C228" s="18" t="str">
        <f>IF(B228="","",VLOOKUP(B228,'Tabla de proceso'!$B$6:$G$28,2,))</f>
        <v/>
      </c>
      <c r="D228" s="17" t="str">
        <f>IF(B228="","",VLOOKUP(B228,'Tabla de proceso'!$B$5:$G$28,3,0))</f>
        <v/>
      </c>
      <c r="E228" s="13" t="str">
        <f t="shared" si="33"/>
        <v/>
      </c>
      <c r="F228" s="13" t="str">
        <f t="shared" si="34"/>
        <v/>
      </c>
      <c r="G228" s="13" t="str">
        <f t="shared" si="35"/>
        <v/>
      </c>
      <c r="H228" s="13" t="e">
        <f t="shared" si="36"/>
        <v>#VALUE!</v>
      </c>
      <c r="I228" s="47"/>
      <c r="J228" s="16">
        <f t="shared" si="37"/>
        <v>0</v>
      </c>
      <c r="K228" s="45" t="str">
        <f t="shared" si="38"/>
        <v>sábado</v>
      </c>
      <c r="L228" s="49"/>
      <c r="M228" s="50"/>
      <c r="N228" s="52">
        <f t="shared" si="39"/>
        <v>0</v>
      </c>
      <c r="O228" s="52">
        <f t="shared" si="40"/>
        <v>0</v>
      </c>
      <c r="P228" s="53">
        <f t="shared" si="41"/>
        <v>0</v>
      </c>
      <c r="Q228" s="54" t="str">
        <f t="shared" si="42"/>
        <v/>
      </c>
      <c r="R228" s="58" t="str">
        <f t="shared" si="43"/>
        <v/>
      </c>
      <c r="S228" s="80"/>
    </row>
    <row r="229" spans="1:19" s="44" customFormat="1">
      <c r="A229" s="15"/>
      <c r="B229" s="79"/>
      <c r="C229" s="18" t="str">
        <f>IF(B229="","",VLOOKUP(B229,'Tabla de proceso'!$B$6:$G$28,2,))</f>
        <v/>
      </c>
      <c r="D229" s="17" t="str">
        <f>IF(B229="","",VLOOKUP(B229,'Tabla de proceso'!$B$5:$G$28,3,0))</f>
        <v/>
      </c>
      <c r="E229" s="13" t="str">
        <f t="shared" si="33"/>
        <v/>
      </c>
      <c r="F229" s="13" t="str">
        <f t="shared" si="34"/>
        <v/>
      </c>
      <c r="G229" s="13" t="str">
        <f t="shared" si="35"/>
        <v/>
      </c>
      <c r="H229" s="13" t="e">
        <f t="shared" si="36"/>
        <v>#VALUE!</v>
      </c>
      <c r="I229" s="47"/>
      <c r="J229" s="16">
        <f t="shared" si="37"/>
        <v>0</v>
      </c>
      <c r="K229" s="45" t="str">
        <f t="shared" si="38"/>
        <v>sábado</v>
      </c>
      <c r="L229" s="49"/>
      <c r="M229" s="50"/>
      <c r="N229" s="52">
        <f t="shared" si="39"/>
        <v>0</v>
      </c>
      <c r="O229" s="52">
        <f t="shared" si="40"/>
        <v>0</v>
      </c>
      <c r="P229" s="53">
        <f t="shared" si="41"/>
        <v>0</v>
      </c>
      <c r="Q229" s="54" t="str">
        <f t="shared" si="42"/>
        <v/>
      </c>
      <c r="R229" s="58" t="str">
        <f t="shared" si="43"/>
        <v/>
      </c>
      <c r="S229" s="80"/>
    </row>
    <row r="230" spans="1:19" s="44" customFormat="1">
      <c r="A230" s="15"/>
      <c r="B230" s="79"/>
      <c r="C230" s="18" t="str">
        <f>IF(B230="","",VLOOKUP(B230,'Tabla de proceso'!$B$6:$G$28,2,))</f>
        <v/>
      </c>
      <c r="D230" s="17" t="str">
        <f>IF(B230="","",VLOOKUP(B230,'Tabla de proceso'!$B$5:$G$28,3,0))</f>
        <v/>
      </c>
      <c r="E230" s="13" t="str">
        <f t="shared" si="33"/>
        <v/>
      </c>
      <c r="F230" s="13" t="str">
        <f t="shared" si="34"/>
        <v/>
      </c>
      <c r="G230" s="13" t="str">
        <f t="shared" si="35"/>
        <v/>
      </c>
      <c r="H230" s="13" t="e">
        <f t="shared" si="36"/>
        <v>#VALUE!</v>
      </c>
      <c r="I230" s="47"/>
      <c r="J230" s="16">
        <f t="shared" si="37"/>
        <v>0</v>
      </c>
      <c r="K230" s="45" t="str">
        <f t="shared" si="38"/>
        <v>sábado</v>
      </c>
      <c r="L230" s="49"/>
      <c r="M230" s="50"/>
      <c r="N230" s="52">
        <f t="shared" si="39"/>
        <v>0</v>
      </c>
      <c r="O230" s="52">
        <f t="shared" si="40"/>
        <v>0</v>
      </c>
      <c r="P230" s="53">
        <f t="shared" si="41"/>
        <v>0</v>
      </c>
      <c r="Q230" s="54" t="str">
        <f t="shared" si="42"/>
        <v/>
      </c>
      <c r="R230" s="58" t="str">
        <f t="shared" si="43"/>
        <v/>
      </c>
      <c r="S230" s="80"/>
    </row>
    <row r="231" spans="1:19" s="44" customFormat="1">
      <c r="A231" s="15"/>
      <c r="B231" s="79"/>
      <c r="C231" s="18" t="str">
        <f>IF(B231="","",VLOOKUP(B231,'Tabla de proceso'!$B$6:$G$28,2,))</f>
        <v/>
      </c>
      <c r="D231" s="17" t="str">
        <f>IF(B231="","",VLOOKUP(B231,'Tabla de proceso'!$B$5:$G$28,3,0))</f>
        <v/>
      </c>
      <c r="E231" s="13" t="str">
        <f t="shared" si="33"/>
        <v/>
      </c>
      <c r="F231" s="13" t="str">
        <f t="shared" si="34"/>
        <v/>
      </c>
      <c r="G231" s="13" t="str">
        <f t="shared" si="35"/>
        <v/>
      </c>
      <c r="H231" s="13" t="e">
        <f t="shared" si="36"/>
        <v>#VALUE!</v>
      </c>
      <c r="I231" s="47"/>
      <c r="J231" s="16">
        <f t="shared" si="37"/>
        <v>0</v>
      </c>
      <c r="K231" s="45" t="str">
        <f t="shared" si="38"/>
        <v>sábado</v>
      </c>
      <c r="L231" s="49"/>
      <c r="M231" s="50"/>
      <c r="N231" s="52">
        <f t="shared" si="39"/>
        <v>0</v>
      </c>
      <c r="O231" s="52">
        <f t="shared" si="40"/>
        <v>0</v>
      </c>
      <c r="P231" s="53">
        <f t="shared" si="41"/>
        <v>0</v>
      </c>
      <c r="Q231" s="54" t="str">
        <f t="shared" si="42"/>
        <v/>
      </c>
      <c r="R231" s="58" t="str">
        <f t="shared" si="43"/>
        <v/>
      </c>
      <c r="S231" s="80"/>
    </row>
    <row r="232" spans="1:19" s="44" customFormat="1">
      <c r="A232" s="15"/>
      <c r="B232" s="79"/>
      <c r="C232" s="18" t="str">
        <f>IF(B232="","",VLOOKUP(B232,'Tabla de proceso'!$B$6:$G$28,2,))</f>
        <v/>
      </c>
      <c r="D232" s="17" t="str">
        <f>IF(B232="","",VLOOKUP(B232,'Tabla de proceso'!$B$5:$G$28,3,0))</f>
        <v/>
      </c>
      <c r="E232" s="13" t="str">
        <f t="shared" si="33"/>
        <v/>
      </c>
      <c r="F232" s="13" t="str">
        <f t="shared" si="34"/>
        <v/>
      </c>
      <c r="G232" s="13" t="str">
        <f t="shared" si="35"/>
        <v/>
      </c>
      <c r="H232" s="13" t="e">
        <f t="shared" si="36"/>
        <v>#VALUE!</v>
      </c>
      <c r="I232" s="47"/>
      <c r="J232" s="16">
        <f t="shared" si="37"/>
        <v>0</v>
      </c>
      <c r="K232" s="45" t="str">
        <f t="shared" si="38"/>
        <v>sábado</v>
      </c>
      <c r="L232" s="49"/>
      <c r="M232" s="50"/>
      <c r="N232" s="52">
        <f t="shared" si="39"/>
        <v>0</v>
      </c>
      <c r="O232" s="52">
        <f t="shared" si="40"/>
        <v>0</v>
      </c>
      <c r="P232" s="53">
        <f t="shared" si="41"/>
        <v>0</v>
      </c>
      <c r="Q232" s="54" t="str">
        <f t="shared" si="42"/>
        <v/>
      </c>
      <c r="R232" s="58" t="str">
        <f t="shared" si="43"/>
        <v/>
      </c>
      <c r="S232" s="80"/>
    </row>
    <row r="233" spans="1:19" s="44" customFormat="1">
      <c r="A233" s="15"/>
      <c r="B233" s="79"/>
      <c r="C233" s="18" t="str">
        <f>IF(B233="","",VLOOKUP(B233,'Tabla de proceso'!$B$6:$G$28,2,))</f>
        <v/>
      </c>
      <c r="D233" s="17" t="str">
        <f>IF(B233="","",VLOOKUP(B233,'Tabla de proceso'!$B$5:$G$28,3,0))</f>
        <v/>
      </c>
      <c r="E233" s="13" t="str">
        <f t="shared" si="33"/>
        <v/>
      </c>
      <c r="F233" s="13" t="str">
        <f t="shared" si="34"/>
        <v/>
      </c>
      <c r="G233" s="13" t="str">
        <f t="shared" si="35"/>
        <v/>
      </c>
      <c r="H233" s="13" t="e">
        <f t="shared" si="36"/>
        <v>#VALUE!</v>
      </c>
      <c r="I233" s="47"/>
      <c r="J233" s="16">
        <f t="shared" si="37"/>
        <v>0</v>
      </c>
      <c r="K233" s="45" t="str">
        <f t="shared" si="38"/>
        <v>sábado</v>
      </c>
      <c r="L233" s="49"/>
      <c r="M233" s="50"/>
      <c r="N233" s="52">
        <f t="shared" si="39"/>
        <v>0</v>
      </c>
      <c r="O233" s="52">
        <f t="shared" si="40"/>
        <v>0</v>
      </c>
      <c r="P233" s="53">
        <f t="shared" si="41"/>
        <v>0</v>
      </c>
      <c r="Q233" s="54" t="str">
        <f t="shared" si="42"/>
        <v/>
      </c>
      <c r="R233" s="58" t="str">
        <f t="shared" si="43"/>
        <v/>
      </c>
      <c r="S233" s="80"/>
    </row>
    <row r="234" spans="1:19" s="44" customFormat="1">
      <c r="A234" s="15"/>
      <c r="B234" s="79"/>
      <c r="C234" s="18" t="str">
        <f>IF(B234="","",VLOOKUP(B234,'Tabla de proceso'!$B$6:$G$28,2,))</f>
        <v/>
      </c>
      <c r="D234" s="17" t="str">
        <f>IF(B234="","",VLOOKUP(B234,'Tabla de proceso'!$B$5:$G$28,3,0))</f>
        <v/>
      </c>
      <c r="E234" s="13" t="str">
        <f t="shared" si="33"/>
        <v/>
      </c>
      <c r="F234" s="13" t="str">
        <f t="shared" si="34"/>
        <v/>
      </c>
      <c r="G234" s="13" t="str">
        <f t="shared" si="35"/>
        <v/>
      </c>
      <c r="H234" s="13" t="e">
        <f t="shared" si="36"/>
        <v>#VALUE!</v>
      </c>
      <c r="I234" s="47"/>
      <c r="J234" s="16">
        <f t="shared" si="37"/>
        <v>0</v>
      </c>
      <c r="K234" s="45" t="str">
        <f t="shared" si="38"/>
        <v>sábado</v>
      </c>
      <c r="L234" s="49"/>
      <c r="M234" s="50"/>
      <c r="N234" s="52">
        <f t="shared" si="39"/>
        <v>0</v>
      </c>
      <c r="O234" s="52">
        <f t="shared" si="40"/>
        <v>0</v>
      </c>
      <c r="P234" s="53">
        <f t="shared" si="41"/>
        <v>0</v>
      </c>
      <c r="Q234" s="54" t="str">
        <f t="shared" si="42"/>
        <v/>
      </c>
      <c r="R234" s="58" t="str">
        <f t="shared" si="43"/>
        <v/>
      </c>
      <c r="S234" s="80"/>
    </row>
    <row r="235" spans="1:19" s="44" customFormat="1">
      <c r="A235" s="15"/>
      <c r="B235" s="79"/>
      <c r="C235" s="18" t="str">
        <f>IF(B235="","",VLOOKUP(B235,'Tabla de proceso'!$B$6:$G$28,2,))</f>
        <v/>
      </c>
      <c r="D235" s="17" t="str">
        <f>IF(B235="","",VLOOKUP(B235,'Tabla de proceso'!$B$5:$G$28,3,0))</f>
        <v/>
      </c>
      <c r="E235" s="13" t="str">
        <f t="shared" si="33"/>
        <v/>
      </c>
      <c r="F235" s="13" t="str">
        <f t="shared" si="34"/>
        <v/>
      </c>
      <c r="G235" s="13" t="str">
        <f t="shared" si="35"/>
        <v/>
      </c>
      <c r="H235" s="13" t="e">
        <f t="shared" si="36"/>
        <v>#VALUE!</v>
      </c>
      <c r="I235" s="47"/>
      <c r="J235" s="16">
        <f t="shared" si="37"/>
        <v>0</v>
      </c>
      <c r="K235" s="45" t="str">
        <f t="shared" si="38"/>
        <v>sábado</v>
      </c>
      <c r="L235" s="49"/>
      <c r="M235" s="50"/>
      <c r="N235" s="52">
        <f t="shared" si="39"/>
        <v>0</v>
      </c>
      <c r="O235" s="52">
        <f t="shared" si="40"/>
        <v>0</v>
      </c>
      <c r="P235" s="53">
        <f t="shared" si="41"/>
        <v>0</v>
      </c>
      <c r="Q235" s="54" t="str">
        <f t="shared" si="42"/>
        <v/>
      </c>
      <c r="R235" s="58" t="str">
        <f t="shared" si="43"/>
        <v/>
      </c>
      <c r="S235" s="81"/>
    </row>
    <row r="236" spans="1:19" s="44" customFormat="1">
      <c r="A236" s="15"/>
      <c r="B236" s="79"/>
      <c r="C236" s="18" t="str">
        <f>IF(B236="","",VLOOKUP(B236,'Tabla de proceso'!$B$6:$G$28,2,))</f>
        <v/>
      </c>
      <c r="D236" s="17" t="str">
        <f>IF(B236="","",VLOOKUP(B236,'Tabla de proceso'!$B$5:$G$28,3,0))</f>
        <v/>
      </c>
      <c r="E236" s="13" t="str">
        <f t="shared" si="33"/>
        <v/>
      </c>
      <c r="F236" s="13" t="str">
        <f t="shared" si="34"/>
        <v/>
      </c>
      <c r="G236" s="13" t="str">
        <f t="shared" si="35"/>
        <v/>
      </c>
      <c r="H236" s="13" t="e">
        <f t="shared" si="36"/>
        <v>#VALUE!</v>
      </c>
      <c r="I236" s="47"/>
      <c r="J236" s="16">
        <f t="shared" si="37"/>
        <v>0</v>
      </c>
      <c r="K236" s="45" t="str">
        <f t="shared" si="38"/>
        <v>sábado</v>
      </c>
      <c r="L236" s="49"/>
      <c r="M236" s="50"/>
      <c r="N236" s="52">
        <f t="shared" si="39"/>
        <v>0</v>
      </c>
      <c r="O236" s="52">
        <f t="shared" si="40"/>
        <v>0</v>
      </c>
      <c r="P236" s="53">
        <f t="shared" si="41"/>
        <v>0</v>
      </c>
      <c r="Q236" s="54" t="str">
        <f t="shared" si="42"/>
        <v/>
      </c>
      <c r="R236" s="58" t="str">
        <f t="shared" si="43"/>
        <v/>
      </c>
      <c r="S236" s="80"/>
    </row>
    <row r="237" spans="1:19" s="44" customFormat="1">
      <c r="A237" s="15"/>
      <c r="B237" s="79"/>
      <c r="C237" s="18" t="str">
        <f>IF(B237="","",VLOOKUP(B237,'Tabla de proceso'!$B$6:$G$28,2,))</f>
        <v/>
      </c>
      <c r="D237" s="17" t="str">
        <f>IF(B237="","",VLOOKUP(B237,'Tabla de proceso'!$B$5:$G$28,3,0))</f>
        <v/>
      </c>
      <c r="E237" s="13" t="str">
        <f t="shared" si="33"/>
        <v/>
      </c>
      <c r="F237" s="13" t="str">
        <f t="shared" si="34"/>
        <v/>
      </c>
      <c r="G237" s="13" t="str">
        <f t="shared" si="35"/>
        <v/>
      </c>
      <c r="H237" s="13" t="e">
        <f t="shared" si="36"/>
        <v>#VALUE!</v>
      </c>
      <c r="I237" s="47"/>
      <c r="J237" s="16">
        <f t="shared" si="37"/>
        <v>0</v>
      </c>
      <c r="K237" s="45" t="str">
        <f t="shared" si="38"/>
        <v>sábado</v>
      </c>
      <c r="L237" s="49"/>
      <c r="M237" s="50"/>
      <c r="N237" s="52">
        <f t="shared" si="39"/>
        <v>0</v>
      </c>
      <c r="O237" s="52">
        <f t="shared" si="40"/>
        <v>0</v>
      </c>
      <c r="P237" s="53">
        <f t="shared" si="41"/>
        <v>0</v>
      </c>
      <c r="Q237" s="54" t="str">
        <f t="shared" si="42"/>
        <v/>
      </c>
      <c r="R237" s="58" t="str">
        <f t="shared" si="43"/>
        <v/>
      </c>
      <c r="S237" s="80"/>
    </row>
    <row r="238" spans="1:19" s="44" customFormat="1">
      <c r="A238" s="15"/>
      <c r="B238" s="79"/>
      <c r="C238" s="18" t="str">
        <f>IF(B238="","",VLOOKUP(B238,'Tabla de proceso'!$B$6:$G$28,2,))</f>
        <v/>
      </c>
      <c r="D238" s="17" t="str">
        <f>IF(B238="","",VLOOKUP(B238,'Tabla de proceso'!$B$5:$G$28,3,0))</f>
        <v/>
      </c>
      <c r="E238" s="13" t="str">
        <f t="shared" si="33"/>
        <v/>
      </c>
      <c r="F238" s="13" t="str">
        <f t="shared" si="34"/>
        <v/>
      </c>
      <c r="G238" s="13" t="str">
        <f t="shared" si="35"/>
        <v/>
      </c>
      <c r="H238" s="13" t="e">
        <f t="shared" si="36"/>
        <v>#VALUE!</v>
      </c>
      <c r="I238" s="47"/>
      <c r="J238" s="16">
        <f t="shared" si="37"/>
        <v>0</v>
      </c>
      <c r="K238" s="45" t="str">
        <f t="shared" si="38"/>
        <v>sábado</v>
      </c>
      <c r="L238" s="49"/>
      <c r="M238" s="50"/>
      <c r="N238" s="52">
        <f t="shared" si="39"/>
        <v>0</v>
      </c>
      <c r="O238" s="52">
        <f t="shared" si="40"/>
        <v>0</v>
      </c>
      <c r="P238" s="53">
        <f t="shared" si="41"/>
        <v>0</v>
      </c>
      <c r="Q238" s="54" t="str">
        <f t="shared" si="42"/>
        <v/>
      </c>
      <c r="R238" s="58" t="str">
        <f t="shared" si="43"/>
        <v/>
      </c>
      <c r="S238" s="80"/>
    </row>
    <row r="239" spans="1:19" s="44" customFormat="1">
      <c r="A239" s="15"/>
      <c r="B239" s="79"/>
      <c r="C239" s="18" t="str">
        <f>IF(B239="","",VLOOKUP(B239,'Tabla de proceso'!$B$6:$G$28,2,))</f>
        <v/>
      </c>
      <c r="D239" s="17" t="str">
        <f>IF(B239="","",VLOOKUP(B239,'Tabla de proceso'!$B$5:$G$28,3,0))</f>
        <v/>
      </c>
      <c r="E239" s="13" t="str">
        <f t="shared" si="33"/>
        <v/>
      </c>
      <c r="F239" s="13" t="str">
        <f t="shared" si="34"/>
        <v/>
      </c>
      <c r="G239" s="13" t="str">
        <f t="shared" si="35"/>
        <v/>
      </c>
      <c r="H239" s="13" t="e">
        <f t="shared" si="36"/>
        <v>#VALUE!</v>
      </c>
      <c r="I239" s="47"/>
      <c r="J239" s="16">
        <f t="shared" si="37"/>
        <v>0</v>
      </c>
      <c r="K239" s="45" t="str">
        <f t="shared" si="38"/>
        <v>sábado</v>
      </c>
      <c r="L239" s="49"/>
      <c r="M239" s="50"/>
      <c r="N239" s="52">
        <f t="shared" si="39"/>
        <v>0</v>
      </c>
      <c r="O239" s="52">
        <f t="shared" si="40"/>
        <v>0</v>
      </c>
      <c r="P239" s="53">
        <f t="shared" si="41"/>
        <v>0</v>
      </c>
      <c r="Q239" s="54" t="str">
        <f t="shared" si="42"/>
        <v/>
      </c>
      <c r="R239" s="58" t="str">
        <f t="shared" si="43"/>
        <v/>
      </c>
      <c r="S239" s="80"/>
    </row>
    <row r="240" spans="1:19" s="44" customFormat="1">
      <c r="A240" s="15"/>
      <c r="B240" s="79"/>
      <c r="C240" s="18" t="str">
        <f>IF(B240="","",VLOOKUP(B240,'Tabla de proceso'!$B$6:$G$28,2,))</f>
        <v/>
      </c>
      <c r="D240" s="17" t="str">
        <f>IF(B240="","",VLOOKUP(B240,'Tabla de proceso'!$B$5:$G$28,3,0))</f>
        <v/>
      </c>
      <c r="E240" s="13" t="str">
        <f t="shared" si="33"/>
        <v/>
      </c>
      <c r="F240" s="13" t="str">
        <f t="shared" si="34"/>
        <v/>
      </c>
      <c r="G240" s="13" t="str">
        <f t="shared" si="35"/>
        <v/>
      </c>
      <c r="H240" s="13" t="e">
        <f t="shared" si="36"/>
        <v>#VALUE!</v>
      </c>
      <c r="I240" s="47"/>
      <c r="J240" s="16">
        <f t="shared" si="37"/>
        <v>0</v>
      </c>
      <c r="K240" s="45" t="str">
        <f t="shared" si="38"/>
        <v>sábado</v>
      </c>
      <c r="L240" s="49"/>
      <c r="M240" s="50"/>
      <c r="N240" s="52">
        <f t="shared" si="39"/>
        <v>0</v>
      </c>
      <c r="O240" s="52">
        <f t="shared" si="40"/>
        <v>0</v>
      </c>
      <c r="P240" s="53">
        <f t="shared" si="41"/>
        <v>0</v>
      </c>
      <c r="Q240" s="54" t="str">
        <f t="shared" si="42"/>
        <v/>
      </c>
      <c r="R240" s="58" t="str">
        <f t="shared" si="43"/>
        <v/>
      </c>
      <c r="S240" s="80"/>
    </row>
    <row r="241" spans="1:19" s="44" customFormat="1">
      <c r="A241" s="15"/>
      <c r="B241" s="79"/>
      <c r="C241" s="18" t="str">
        <f>IF(B241="","",VLOOKUP(B241,'Tabla de proceso'!$B$6:$G$28,2,))</f>
        <v/>
      </c>
      <c r="D241" s="17" t="str">
        <f>IF(B241="","",VLOOKUP(B241,'Tabla de proceso'!$B$5:$G$28,3,0))</f>
        <v/>
      </c>
      <c r="E241" s="13" t="str">
        <f t="shared" si="33"/>
        <v/>
      </c>
      <c r="F241" s="13" t="str">
        <f t="shared" si="34"/>
        <v/>
      </c>
      <c r="G241" s="13" t="str">
        <f t="shared" si="35"/>
        <v/>
      </c>
      <c r="H241" s="13" t="e">
        <f t="shared" si="36"/>
        <v>#VALUE!</v>
      </c>
      <c r="I241" s="47"/>
      <c r="J241" s="16">
        <f t="shared" si="37"/>
        <v>0</v>
      </c>
      <c r="K241" s="45" t="str">
        <f t="shared" si="38"/>
        <v>sábado</v>
      </c>
      <c r="L241" s="49"/>
      <c r="M241" s="50"/>
      <c r="N241" s="52">
        <f t="shared" si="39"/>
        <v>0</v>
      </c>
      <c r="O241" s="52">
        <f t="shared" si="40"/>
        <v>0</v>
      </c>
      <c r="P241" s="53">
        <f t="shared" si="41"/>
        <v>0</v>
      </c>
      <c r="Q241" s="54" t="str">
        <f t="shared" si="42"/>
        <v/>
      </c>
      <c r="R241" s="58" t="str">
        <f t="shared" si="43"/>
        <v/>
      </c>
      <c r="S241" s="80"/>
    </row>
    <row r="242" spans="1:19" s="44" customFormat="1">
      <c r="A242" s="15"/>
      <c r="B242" s="79"/>
      <c r="C242" s="18" t="str">
        <f>IF(B242="","",VLOOKUP(B242,'Tabla de proceso'!$B$6:$G$28,2,))</f>
        <v/>
      </c>
      <c r="D242" s="17" t="str">
        <f>IF(B242="","",VLOOKUP(B242,'Tabla de proceso'!$B$5:$G$28,3,0))</f>
        <v/>
      </c>
      <c r="E242" s="13" t="str">
        <f t="shared" si="33"/>
        <v/>
      </c>
      <c r="F242" s="13" t="str">
        <f t="shared" si="34"/>
        <v/>
      </c>
      <c r="G242" s="13" t="str">
        <f t="shared" si="35"/>
        <v/>
      </c>
      <c r="H242" s="13" t="e">
        <f t="shared" si="36"/>
        <v>#VALUE!</v>
      </c>
      <c r="I242" s="47"/>
      <c r="J242" s="16">
        <f t="shared" si="37"/>
        <v>0</v>
      </c>
      <c r="K242" s="45" t="str">
        <f t="shared" si="38"/>
        <v>sábado</v>
      </c>
      <c r="L242" s="49"/>
      <c r="M242" s="50"/>
      <c r="N242" s="52">
        <f t="shared" si="39"/>
        <v>0</v>
      </c>
      <c r="O242" s="52">
        <f t="shared" si="40"/>
        <v>0</v>
      </c>
      <c r="P242" s="53">
        <f t="shared" si="41"/>
        <v>0</v>
      </c>
      <c r="Q242" s="54" t="str">
        <f t="shared" si="42"/>
        <v/>
      </c>
      <c r="R242" s="58" t="str">
        <f t="shared" si="43"/>
        <v/>
      </c>
      <c r="S242" s="80"/>
    </row>
    <row r="243" spans="1:19" s="44" customFormat="1">
      <c r="A243" s="15"/>
      <c r="B243" s="79"/>
      <c r="C243" s="18" t="str">
        <f>IF(B243="","",VLOOKUP(B243,'Tabla de proceso'!$B$6:$G$28,2,))</f>
        <v/>
      </c>
      <c r="D243" s="17" t="str">
        <f>IF(B243="","",VLOOKUP(B243,'Tabla de proceso'!$B$5:$G$28,3,0))</f>
        <v/>
      </c>
      <c r="E243" s="13" t="str">
        <f t="shared" si="33"/>
        <v/>
      </c>
      <c r="F243" s="13" t="str">
        <f t="shared" si="34"/>
        <v/>
      </c>
      <c r="G243" s="13" t="str">
        <f t="shared" si="35"/>
        <v/>
      </c>
      <c r="H243" s="13" t="e">
        <f t="shared" si="36"/>
        <v>#VALUE!</v>
      </c>
      <c r="I243" s="47"/>
      <c r="J243" s="16">
        <f t="shared" si="37"/>
        <v>0</v>
      </c>
      <c r="K243" s="45" t="str">
        <f t="shared" si="38"/>
        <v>sábado</v>
      </c>
      <c r="L243" s="49"/>
      <c r="M243" s="50"/>
      <c r="N243" s="52">
        <f t="shared" si="39"/>
        <v>0</v>
      </c>
      <c r="O243" s="52">
        <f t="shared" si="40"/>
        <v>0</v>
      </c>
      <c r="P243" s="53">
        <f t="shared" si="41"/>
        <v>0</v>
      </c>
      <c r="Q243" s="54" t="str">
        <f t="shared" si="42"/>
        <v/>
      </c>
      <c r="R243" s="58" t="str">
        <f t="shared" si="43"/>
        <v/>
      </c>
      <c r="S243" s="80"/>
    </row>
    <row r="244" spans="1:19" s="44" customFormat="1">
      <c r="A244" s="15"/>
      <c r="B244" s="79"/>
      <c r="C244" s="18" t="str">
        <f>IF(B244="","",VLOOKUP(B244,'Tabla de proceso'!$B$6:$G$28,2,))</f>
        <v/>
      </c>
      <c r="D244" s="17" t="str">
        <f>IF(B244="","",VLOOKUP(B244,'Tabla de proceso'!$B$5:$G$28,3,0))</f>
        <v/>
      </c>
      <c r="E244" s="13" t="str">
        <f t="shared" si="33"/>
        <v/>
      </c>
      <c r="F244" s="13" t="str">
        <f t="shared" si="34"/>
        <v/>
      </c>
      <c r="G244" s="13" t="str">
        <f t="shared" si="35"/>
        <v/>
      </c>
      <c r="H244" s="13" t="e">
        <f t="shared" si="36"/>
        <v>#VALUE!</v>
      </c>
      <c r="I244" s="47"/>
      <c r="J244" s="16">
        <f t="shared" si="37"/>
        <v>0</v>
      </c>
      <c r="K244" s="45" t="str">
        <f t="shared" si="38"/>
        <v>sábado</v>
      </c>
      <c r="L244" s="49"/>
      <c r="M244" s="50"/>
      <c r="N244" s="52">
        <f t="shared" si="39"/>
        <v>0</v>
      </c>
      <c r="O244" s="52">
        <f t="shared" si="40"/>
        <v>0</v>
      </c>
      <c r="P244" s="53">
        <f t="shared" si="41"/>
        <v>0</v>
      </c>
      <c r="Q244" s="54" t="str">
        <f t="shared" si="42"/>
        <v/>
      </c>
      <c r="R244" s="58" t="str">
        <f t="shared" si="43"/>
        <v/>
      </c>
      <c r="S244" s="80"/>
    </row>
    <row r="245" spans="1:19" s="44" customFormat="1">
      <c r="A245" s="15"/>
      <c r="B245" s="79"/>
      <c r="C245" s="18" t="str">
        <f>IF(B245="","",VLOOKUP(B245,'Tabla de proceso'!$B$6:$G$28,2,))</f>
        <v/>
      </c>
      <c r="D245" s="17" t="str">
        <f>IF(B245="","",VLOOKUP(B245,'Tabla de proceso'!$B$5:$G$28,3,0))</f>
        <v/>
      </c>
      <c r="E245" s="13" t="str">
        <f t="shared" si="33"/>
        <v/>
      </c>
      <c r="F245" s="13" t="str">
        <f t="shared" si="34"/>
        <v/>
      </c>
      <c r="G245" s="13" t="str">
        <f t="shared" si="35"/>
        <v/>
      </c>
      <c r="H245" s="13" t="e">
        <f t="shared" si="36"/>
        <v>#VALUE!</v>
      </c>
      <c r="I245" s="47"/>
      <c r="J245" s="16">
        <f t="shared" si="37"/>
        <v>0</v>
      </c>
      <c r="K245" s="45" t="str">
        <f t="shared" si="38"/>
        <v>sábado</v>
      </c>
      <c r="L245" s="49"/>
      <c r="M245" s="50"/>
      <c r="N245" s="52">
        <f t="shared" si="39"/>
        <v>0</v>
      </c>
      <c r="O245" s="52">
        <f t="shared" si="40"/>
        <v>0</v>
      </c>
      <c r="P245" s="53">
        <f t="shared" si="41"/>
        <v>0</v>
      </c>
      <c r="Q245" s="54" t="str">
        <f t="shared" si="42"/>
        <v/>
      </c>
      <c r="R245" s="58" t="str">
        <f t="shared" si="43"/>
        <v/>
      </c>
      <c r="S245" s="80"/>
    </row>
    <row r="246" spans="1:19" s="44" customFormat="1">
      <c r="A246" s="15"/>
      <c r="B246" s="79"/>
      <c r="C246" s="18" t="str">
        <f>IF(B246="","",VLOOKUP(B246,'Tabla de proceso'!$B$6:$G$28,2,))</f>
        <v/>
      </c>
      <c r="D246" s="17" t="str">
        <f>IF(B246="","",VLOOKUP(B246,'Tabla de proceso'!$B$5:$G$28,3,0))</f>
        <v/>
      </c>
      <c r="E246" s="13" t="str">
        <f t="shared" si="33"/>
        <v/>
      </c>
      <c r="F246" s="13" t="str">
        <f t="shared" si="34"/>
        <v/>
      </c>
      <c r="G246" s="13" t="str">
        <f t="shared" si="35"/>
        <v/>
      </c>
      <c r="H246" s="13" t="e">
        <f t="shared" si="36"/>
        <v>#VALUE!</v>
      </c>
      <c r="I246" s="47"/>
      <c r="J246" s="16">
        <f t="shared" si="37"/>
        <v>0</v>
      </c>
      <c r="K246" s="45" t="str">
        <f t="shared" si="38"/>
        <v>sábado</v>
      </c>
      <c r="L246" s="49"/>
      <c r="M246" s="50"/>
      <c r="N246" s="52">
        <f t="shared" si="39"/>
        <v>0</v>
      </c>
      <c r="O246" s="52">
        <f t="shared" si="40"/>
        <v>0</v>
      </c>
      <c r="P246" s="53">
        <f t="shared" si="41"/>
        <v>0</v>
      </c>
      <c r="Q246" s="54" t="str">
        <f t="shared" si="42"/>
        <v/>
      </c>
      <c r="R246" s="58" t="str">
        <f t="shared" si="43"/>
        <v/>
      </c>
      <c r="S246" s="80"/>
    </row>
    <row r="247" spans="1:19" s="44" customFormat="1">
      <c r="A247" s="15"/>
      <c r="B247" s="79"/>
      <c r="C247" s="18" t="str">
        <f>IF(B247="","",VLOOKUP(B247,'Tabla de proceso'!$B$6:$G$28,2,))</f>
        <v/>
      </c>
      <c r="D247" s="17" t="str">
        <f>IF(B247="","",VLOOKUP(B247,'Tabla de proceso'!$B$5:$G$28,3,0))</f>
        <v/>
      </c>
      <c r="E247" s="13" t="str">
        <f t="shared" si="33"/>
        <v/>
      </c>
      <c r="F247" s="13" t="str">
        <f t="shared" si="34"/>
        <v/>
      </c>
      <c r="G247" s="13" t="str">
        <f t="shared" si="35"/>
        <v/>
      </c>
      <c r="H247" s="13" t="e">
        <f t="shared" si="36"/>
        <v>#VALUE!</v>
      </c>
      <c r="I247" s="47"/>
      <c r="J247" s="16">
        <f t="shared" si="37"/>
        <v>0</v>
      </c>
      <c r="K247" s="45" t="str">
        <f t="shared" si="38"/>
        <v>sábado</v>
      </c>
      <c r="L247" s="49"/>
      <c r="M247" s="50"/>
      <c r="N247" s="52">
        <f t="shared" si="39"/>
        <v>0</v>
      </c>
      <c r="O247" s="52">
        <f t="shared" si="40"/>
        <v>0</v>
      </c>
      <c r="P247" s="53">
        <f t="shared" si="41"/>
        <v>0</v>
      </c>
      <c r="Q247" s="54" t="str">
        <f t="shared" si="42"/>
        <v/>
      </c>
      <c r="R247" s="58" t="str">
        <f t="shared" si="43"/>
        <v/>
      </c>
      <c r="S247" s="80"/>
    </row>
    <row r="248" spans="1:19" s="44" customFormat="1">
      <c r="A248" s="15"/>
      <c r="B248" s="79"/>
      <c r="C248" s="18" t="str">
        <f>IF(B248="","",VLOOKUP(B248,'Tabla de proceso'!$B$6:$G$28,2,))</f>
        <v/>
      </c>
      <c r="D248" s="17" t="str">
        <f>IF(B248="","",VLOOKUP(B248,'Tabla de proceso'!$B$5:$G$28,3,0))</f>
        <v/>
      </c>
      <c r="E248" s="13" t="str">
        <f t="shared" si="33"/>
        <v/>
      </c>
      <c r="F248" s="13" t="str">
        <f t="shared" si="34"/>
        <v/>
      </c>
      <c r="G248" s="13" t="str">
        <f t="shared" si="35"/>
        <v/>
      </c>
      <c r="H248" s="13" t="e">
        <f t="shared" si="36"/>
        <v>#VALUE!</v>
      </c>
      <c r="I248" s="47"/>
      <c r="J248" s="16">
        <f t="shared" si="37"/>
        <v>0</v>
      </c>
      <c r="K248" s="45" t="str">
        <f t="shared" si="38"/>
        <v>sábado</v>
      </c>
      <c r="L248" s="49"/>
      <c r="M248" s="50"/>
      <c r="N248" s="52">
        <f t="shared" si="39"/>
        <v>0</v>
      </c>
      <c r="O248" s="52">
        <f t="shared" si="40"/>
        <v>0</v>
      </c>
      <c r="P248" s="53">
        <f t="shared" si="41"/>
        <v>0</v>
      </c>
      <c r="Q248" s="54" t="str">
        <f t="shared" si="42"/>
        <v/>
      </c>
      <c r="R248" s="58" t="str">
        <f t="shared" si="43"/>
        <v/>
      </c>
      <c r="S248" s="80"/>
    </row>
    <row r="249" spans="1:19" s="44" customFormat="1">
      <c r="A249" s="15"/>
      <c r="B249" s="79"/>
      <c r="C249" s="18" t="str">
        <f>IF(B249="","",VLOOKUP(B249,'Tabla de proceso'!$B$6:$G$28,2,))</f>
        <v/>
      </c>
      <c r="D249" s="17" t="str">
        <f>IF(B249="","",VLOOKUP(B249,'Tabla de proceso'!$B$5:$G$28,3,0))</f>
        <v/>
      </c>
      <c r="E249" s="13" t="str">
        <f t="shared" si="33"/>
        <v/>
      </c>
      <c r="F249" s="13" t="str">
        <f t="shared" si="34"/>
        <v/>
      </c>
      <c r="G249" s="13" t="str">
        <f t="shared" si="35"/>
        <v/>
      </c>
      <c r="H249" s="13" t="e">
        <f t="shared" si="36"/>
        <v>#VALUE!</v>
      </c>
      <c r="I249" s="47"/>
      <c r="J249" s="16">
        <f t="shared" si="37"/>
        <v>0</v>
      </c>
      <c r="K249" s="45" t="str">
        <f t="shared" si="38"/>
        <v>sábado</v>
      </c>
      <c r="L249" s="49"/>
      <c r="M249" s="50"/>
      <c r="N249" s="52">
        <f t="shared" si="39"/>
        <v>0</v>
      </c>
      <c r="O249" s="52">
        <f t="shared" si="40"/>
        <v>0</v>
      </c>
      <c r="P249" s="53">
        <f t="shared" si="41"/>
        <v>0</v>
      </c>
      <c r="Q249" s="54" t="str">
        <f t="shared" si="42"/>
        <v/>
      </c>
      <c r="R249" s="58" t="str">
        <f t="shared" si="43"/>
        <v/>
      </c>
      <c r="S249" s="80"/>
    </row>
    <row r="250" spans="1:19" s="44" customFormat="1">
      <c r="A250" s="15"/>
      <c r="B250" s="79"/>
      <c r="C250" s="18" t="str">
        <f>IF(B250="","",VLOOKUP(B250,'Tabla de proceso'!$B$6:$G$28,2,))</f>
        <v/>
      </c>
      <c r="D250" s="17" t="str">
        <f>IF(B250="","",VLOOKUP(B250,'Tabla de proceso'!$B$5:$G$28,3,0))</f>
        <v/>
      </c>
      <c r="E250" s="13" t="str">
        <f t="shared" si="33"/>
        <v/>
      </c>
      <c r="F250" s="13" t="str">
        <f t="shared" si="34"/>
        <v/>
      </c>
      <c r="G250" s="13" t="str">
        <f t="shared" si="35"/>
        <v/>
      </c>
      <c r="H250" s="13" t="e">
        <f t="shared" si="36"/>
        <v>#VALUE!</v>
      </c>
      <c r="I250" s="47"/>
      <c r="J250" s="16">
        <f t="shared" si="37"/>
        <v>0</v>
      </c>
      <c r="K250" s="45" t="str">
        <f t="shared" si="38"/>
        <v>sábado</v>
      </c>
      <c r="L250" s="49"/>
      <c r="M250" s="50"/>
      <c r="N250" s="52">
        <f t="shared" si="39"/>
        <v>0</v>
      </c>
      <c r="O250" s="52">
        <f t="shared" si="40"/>
        <v>0</v>
      </c>
      <c r="P250" s="53">
        <f t="shared" si="41"/>
        <v>0</v>
      </c>
      <c r="Q250" s="54" t="str">
        <f t="shared" si="42"/>
        <v/>
      </c>
      <c r="R250" s="58" t="str">
        <f t="shared" si="43"/>
        <v/>
      </c>
      <c r="S250" s="80"/>
    </row>
    <row r="251" spans="1:19" s="44" customFormat="1">
      <c r="A251" s="15"/>
      <c r="B251" s="79"/>
      <c r="C251" s="18" t="str">
        <f>IF(B251="","",VLOOKUP(B251,'Tabla de proceso'!$B$6:$G$28,2,))</f>
        <v/>
      </c>
      <c r="D251" s="17" t="str">
        <f>IF(B251="","",VLOOKUP(B251,'Tabla de proceso'!$B$5:$G$28,3,0))</f>
        <v/>
      </c>
      <c r="E251" s="13" t="str">
        <f t="shared" si="33"/>
        <v/>
      </c>
      <c r="F251" s="13" t="str">
        <f t="shared" si="34"/>
        <v/>
      </c>
      <c r="G251" s="13" t="str">
        <f t="shared" si="35"/>
        <v/>
      </c>
      <c r="H251" s="13" t="e">
        <f t="shared" si="36"/>
        <v>#VALUE!</v>
      </c>
      <c r="I251" s="47"/>
      <c r="J251" s="16">
        <f t="shared" si="37"/>
        <v>0</v>
      </c>
      <c r="K251" s="45" t="str">
        <f t="shared" si="38"/>
        <v>sábado</v>
      </c>
      <c r="L251" s="49"/>
      <c r="M251" s="50"/>
      <c r="N251" s="52">
        <f t="shared" si="39"/>
        <v>0</v>
      </c>
      <c r="O251" s="52">
        <f t="shared" si="40"/>
        <v>0</v>
      </c>
      <c r="P251" s="53">
        <f t="shared" si="41"/>
        <v>0</v>
      </c>
      <c r="Q251" s="54" t="str">
        <f t="shared" si="42"/>
        <v/>
      </c>
      <c r="R251" s="58" t="str">
        <f t="shared" si="43"/>
        <v/>
      </c>
      <c r="S251" s="80"/>
    </row>
    <row r="252" spans="1:19" s="44" customFormat="1">
      <c r="A252" s="15"/>
      <c r="B252" s="79"/>
      <c r="C252" s="18" t="str">
        <f>IF(B252="","",VLOOKUP(B252,'Tabla de proceso'!$B$6:$G$28,2,))</f>
        <v/>
      </c>
      <c r="D252" s="17" t="str">
        <f>IF(B252="","",VLOOKUP(B252,'Tabla de proceso'!$B$5:$G$28,3,0))</f>
        <v/>
      </c>
      <c r="E252" s="13" t="str">
        <f t="shared" si="33"/>
        <v/>
      </c>
      <c r="F252" s="13" t="str">
        <f t="shared" si="34"/>
        <v/>
      </c>
      <c r="G252" s="13" t="str">
        <f t="shared" si="35"/>
        <v/>
      </c>
      <c r="H252" s="13" t="e">
        <f t="shared" si="36"/>
        <v>#VALUE!</v>
      </c>
      <c r="I252" s="47"/>
      <c r="J252" s="16">
        <f t="shared" si="37"/>
        <v>0</v>
      </c>
      <c r="K252" s="45" t="str">
        <f t="shared" si="38"/>
        <v>sábado</v>
      </c>
      <c r="L252" s="49"/>
      <c r="M252" s="50"/>
      <c r="N252" s="52">
        <f t="shared" si="39"/>
        <v>0</v>
      </c>
      <c r="O252" s="52">
        <f t="shared" si="40"/>
        <v>0</v>
      </c>
      <c r="P252" s="53">
        <f t="shared" si="41"/>
        <v>0</v>
      </c>
      <c r="Q252" s="54" t="str">
        <f t="shared" si="42"/>
        <v/>
      </c>
      <c r="R252" s="58" t="str">
        <f t="shared" si="43"/>
        <v/>
      </c>
      <c r="S252" s="80"/>
    </row>
    <row r="253" spans="1:19" s="44" customFormat="1">
      <c r="A253" s="15"/>
      <c r="B253" s="79"/>
      <c r="C253" s="18" t="str">
        <f>IF(B253="","",VLOOKUP(B253,'Tabla de proceso'!$B$6:$G$28,2,))</f>
        <v/>
      </c>
      <c r="D253" s="17" t="str">
        <f>IF(B253="","",VLOOKUP(B253,'Tabla de proceso'!$B$5:$G$28,3,0))</f>
        <v/>
      </c>
      <c r="E253" s="13" t="str">
        <f t="shared" si="33"/>
        <v/>
      </c>
      <c r="F253" s="13" t="str">
        <f t="shared" si="34"/>
        <v/>
      </c>
      <c r="G253" s="13" t="str">
        <f t="shared" si="35"/>
        <v/>
      </c>
      <c r="H253" s="13" t="e">
        <f t="shared" si="36"/>
        <v>#VALUE!</v>
      </c>
      <c r="I253" s="47"/>
      <c r="J253" s="16">
        <f t="shared" si="37"/>
        <v>0</v>
      </c>
      <c r="K253" s="45" t="str">
        <f t="shared" si="38"/>
        <v>sábado</v>
      </c>
      <c r="L253" s="49"/>
      <c r="M253" s="50"/>
      <c r="N253" s="52">
        <f t="shared" si="39"/>
        <v>0</v>
      </c>
      <c r="O253" s="52">
        <f t="shared" si="40"/>
        <v>0</v>
      </c>
      <c r="P253" s="53">
        <f t="shared" si="41"/>
        <v>0</v>
      </c>
      <c r="Q253" s="54" t="str">
        <f t="shared" si="42"/>
        <v/>
      </c>
      <c r="R253" s="58" t="str">
        <f t="shared" si="43"/>
        <v/>
      </c>
      <c r="S253" s="80"/>
    </row>
    <row r="254" spans="1:19" s="44" customFormat="1">
      <c r="A254" s="15"/>
      <c r="B254" s="79"/>
      <c r="C254" s="18" t="str">
        <f>IF(B254="","",VLOOKUP(B254,'Tabla de proceso'!$B$6:$G$28,2,))</f>
        <v/>
      </c>
      <c r="D254" s="17" t="str">
        <f>IF(B254="","",VLOOKUP(B254,'Tabla de proceso'!$B$5:$G$28,3,0))</f>
        <v/>
      </c>
      <c r="E254" s="13" t="str">
        <f t="shared" si="33"/>
        <v/>
      </c>
      <c r="F254" s="13" t="str">
        <f t="shared" si="34"/>
        <v/>
      </c>
      <c r="G254" s="13" t="str">
        <f t="shared" si="35"/>
        <v/>
      </c>
      <c r="H254" s="13" t="e">
        <f t="shared" si="36"/>
        <v>#VALUE!</v>
      </c>
      <c r="I254" s="47"/>
      <c r="J254" s="16">
        <f t="shared" si="37"/>
        <v>0</v>
      </c>
      <c r="K254" s="45" t="str">
        <f t="shared" si="38"/>
        <v>sábado</v>
      </c>
      <c r="L254" s="49"/>
      <c r="M254" s="50"/>
      <c r="N254" s="52">
        <f t="shared" si="39"/>
        <v>0</v>
      </c>
      <c r="O254" s="52">
        <f t="shared" si="40"/>
        <v>0</v>
      </c>
      <c r="P254" s="53">
        <f t="shared" si="41"/>
        <v>0</v>
      </c>
      <c r="Q254" s="54" t="str">
        <f t="shared" si="42"/>
        <v/>
      </c>
      <c r="R254" s="58" t="str">
        <f t="shared" si="43"/>
        <v/>
      </c>
      <c r="S254" s="80"/>
    </row>
    <row r="255" spans="1:19" s="44" customFormat="1">
      <c r="A255" s="15"/>
      <c r="B255" s="79"/>
      <c r="C255" s="18" t="str">
        <f>IF(B255="","",VLOOKUP(B255,'Tabla de proceso'!$B$6:$G$28,2,))</f>
        <v/>
      </c>
      <c r="D255" s="17" t="str">
        <f>IF(B255="","",VLOOKUP(B255,'Tabla de proceso'!$B$5:$G$28,3,0))</f>
        <v/>
      </c>
      <c r="E255" s="13" t="str">
        <f t="shared" si="33"/>
        <v/>
      </c>
      <c r="F255" s="13" t="str">
        <f t="shared" si="34"/>
        <v/>
      </c>
      <c r="G255" s="13" t="str">
        <f t="shared" si="35"/>
        <v/>
      </c>
      <c r="H255" s="13" t="e">
        <f t="shared" si="36"/>
        <v>#VALUE!</v>
      </c>
      <c r="I255" s="47"/>
      <c r="J255" s="16">
        <f t="shared" si="37"/>
        <v>0</v>
      </c>
      <c r="K255" s="45" t="str">
        <f t="shared" si="38"/>
        <v>sábado</v>
      </c>
      <c r="L255" s="49"/>
      <c r="M255" s="50"/>
      <c r="N255" s="52">
        <f t="shared" si="39"/>
        <v>0</v>
      </c>
      <c r="O255" s="52">
        <f t="shared" si="40"/>
        <v>0</v>
      </c>
      <c r="P255" s="53">
        <f t="shared" si="41"/>
        <v>0</v>
      </c>
      <c r="Q255" s="54" t="str">
        <f t="shared" si="42"/>
        <v/>
      </c>
      <c r="R255" s="58" t="str">
        <f t="shared" si="43"/>
        <v/>
      </c>
      <c r="S255" s="80"/>
    </row>
    <row r="256" spans="1:19" s="44" customFormat="1">
      <c r="A256" s="15"/>
      <c r="B256" s="79"/>
      <c r="C256" s="18" t="str">
        <f>IF(B256="","",VLOOKUP(B256,'Tabla de proceso'!$B$6:$G$28,2,))</f>
        <v/>
      </c>
      <c r="D256" s="17" t="str">
        <f>IF(B256="","",VLOOKUP(B256,'Tabla de proceso'!$B$5:$G$28,3,0))</f>
        <v/>
      </c>
      <c r="E256" s="13" t="str">
        <f t="shared" si="33"/>
        <v/>
      </c>
      <c r="F256" s="13" t="str">
        <f t="shared" si="34"/>
        <v/>
      </c>
      <c r="G256" s="13" t="str">
        <f t="shared" si="35"/>
        <v/>
      </c>
      <c r="H256" s="13" t="e">
        <f t="shared" si="36"/>
        <v>#VALUE!</v>
      </c>
      <c r="I256" s="47"/>
      <c r="J256" s="16">
        <f t="shared" si="37"/>
        <v>0</v>
      </c>
      <c r="K256" s="45" t="str">
        <f t="shared" si="38"/>
        <v>sábado</v>
      </c>
      <c r="L256" s="49"/>
      <c r="M256" s="50"/>
      <c r="N256" s="52">
        <f t="shared" si="39"/>
        <v>0</v>
      </c>
      <c r="O256" s="52">
        <f t="shared" si="40"/>
        <v>0</v>
      </c>
      <c r="P256" s="53">
        <f t="shared" si="41"/>
        <v>0</v>
      </c>
      <c r="Q256" s="54" t="str">
        <f t="shared" si="42"/>
        <v/>
      </c>
      <c r="R256" s="58" t="str">
        <f t="shared" si="43"/>
        <v/>
      </c>
      <c r="S256" s="80"/>
    </row>
    <row r="257" spans="1:19" s="44" customFormat="1">
      <c r="A257" s="15"/>
      <c r="B257" s="79"/>
      <c r="C257" s="18" t="str">
        <f>IF(B257="","",VLOOKUP(B257,'Tabla de proceso'!$B$6:$G$28,2,))</f>
        <v/>
      </c>
      <c r="D257" s="17" t="str">
        <f>IF(B257="","",VLOOKUP(B257,'Tabla de proceso'!$B$5:$G$28,3,0))</f>
        <v/>
      </c>
      <c r="E257" s="13" t="str">
        <f t="shared" si="33"/>
        <v/>
      </c>
      <c r="F257" s="13" t="str">
        <f t="shared" si="34"/>
        <v/>
      </c>
      <c r="G257" s="13" t="str">
        <f t="shared" si="35"/>
        <v/>
      </c>
      <c r="H257" s="13" t="e">
        <f t="shared" si="36"/>
        <v>#VALUE!</v>
      </c>
      <c r="I257" s="47"/>
      <c r="J257" s="16">
        <f t="shared" si="37"/>
        <v>0</v>
      </c>
      <c r="K257" s="45" t="str">
        <f t="shared" si="38"/>
        <v>sábado</v>
      </c>
      <c r="L257" s="49"/>
      <c r="M257" s="50"/>
      <c r="N257" s="52">
        <f t="shared" si="39"/>
        <v>0</v>
      </c>
      <c r="O257" s="52">
        <f t="shared" si="40"/>
        <v>0</v>
      </c>
      <c r="P257" s="53">
        <f t="shared" si="41"/>
        <v>0</v>
      </c>
      <c r="Q257" s="54" t="str">
        <f t="shared" si="42"/>
        <v/>
      </c>
      <c r="R257" s="58" t="str">
        <f t="shared" si="43"/>
        <v/>
      </c>
      <c r="S257" s="80"/>
    </row>
    <row r="258" spans="1:19" s="44" customFormat="1">
      <c r="A258" s="15"/>
      <c r="B258" s="79"/>
      <c r="C258" s="18" t="str">
        <f>IF(B258="","",VLOOKUP(B258,'Tabla de proceso'!$B$6:$G$28,2,))</f>
        <v/>
      </c>
      <c r="D258" s="17" t="str">
        <f>IF(B258="","",VLOOKUP(B258,'Tabla de proceso'!$B$5:$G$28,3,0))</f>
        <v/>
      </c>
      <c r="E258" s="13" t="str">
        <f t="shared" si="33"/>
        <v/>
      </c>
      <c r="F258" s="13" t="str">
        <f t="shared" si="34"/>
        <v/>
      </c>
      <c r="G258" s="13" t="str">
        <f t="shared" si="35"/>
        <v/>
      </c>
      <c r="H258" s="13" t="e">
        <f t="shared" si="36"/>
        <v>#VALUE!</v>
      </c>
      <c r="I258" s="47"/>
      <c r="J258" s="16">
        <f t="shared" si="37"/>
        <v>0</v>
      </c>
      <c r="K258" s="45" t="str">
        <f t="shared" si="38"/>
        <v>sábado</v>
      </c>
      <c r="L258" s="49"/>
      <c r="M258" s="50"/>
      <c r="N258" s="52">
        <f t="shared" si="39"/>
        <v>0</v>
      </c>
      <c r="O258" s="52">
        <f t="shared" si="40"/>
        <v>0</v>
      </c>
      <c r="P258" s="53">
        <f t="shared" si="41"/>
        <v>0</v>
      </c>
      <c r="Q258" s="54" t="str">
        <f t="shared" si="42"/>
        <v/>
      </c>
      <c r="R258" s="58" t="str">
        <f t="shared" si="43"/>
        <v/>
      </c>
      <c r="S258" s="80"/>
    </row>
    <row r="259" spans="1:19" s="44" customFormat="1">
      <c r="A259" s="15"/>
      <c r="B259" s="79"/>
      <c r="C259" s="18" t="str">
        <f>IF(B259="","",VLOOKUP(B259,'Tabla de proceso'!$B$6:$G$28,2,))</f>
        <v/>
      </c>
      <c r="D259" s="17" t="str">
        <f>IF(B259="","",VLOOKUP(B259,'Tabla de proceso'!$B$5:$G$28,3,0))</f>
        <v/>
      </c>
      <c r="E259" s="13" t="str">
        <f t="shared" si="33"/>
        <v/>
      </c>
      <c r="F259" s="13" t="str">
        <f t="shared" si="34"/>
        <v/>
      </c>
      <c r="G259" s="13" t="str">
        <f t="shared" si="35"/>
        <v/>
      </c>
      <c r="H259" s="13" t="e">
        <f t="shared" si="36"/>
        <v>#VALUE!</v>
      </c>
      <c r="I259" s="47"/>
      <c r="J259" s="16">
        <f t="shared" si="37"/>
        <v>0</v>
      </c>
      <c r="K259" s="45" t="str">
        <f t="shared" si="38"/>
        <v>sábado</v>
      </c>
      <c r="L259" s="49"/>
      <c r="M259" s="50"/>
      <c r="N259" s="52">
        <f t="shared" si="39"/>
        <v>0</v>
      </c>
      <c r="O259" s="52">
        <f t="shared" si="40"/>
        <v>0</v>
      </c>
      <c r="P259" s="53">
        <f t="shared" si="41"/>
        <v>0</v>
      </c>
      <c r="Q259" s="54" t="str">
        <f t="shared" si="42"/>
        <v/>
      </c>
      <c r="R259" s="58" t="str">
        <f t="shared" si="43"/>
        <v/>
      </c>
      <c r="S259" s="80"/>
    </row>
    <row r="260" spans="1:19" s="44" customFormat="1">
      <c r="A260" s="15"/>
      <c r="B260" s="79"/>
      <c r="C260" s="18" t="str">
        <f>IF(B260="","",VLOOKUP(B260,'Tabla de proceso'!$B$6:$G$28,2,))</f>
        <v/>
      </c>
      <c r="D260" s="17" t="str">
        <f>IF(B260="","",VLOOKUP(B260,'Tabla de proceso'!$B$5:$G$28,3,0))</f>
        <v/>
      </c>
      <c r="E260" s="13" t="str">
        <f t="shared" si="33"/>
        <v/>
      </c>
      <c r="F260" s="13" t="str">
        <f t="shared" si="34"/>
        <v/>
      </c>
      <c r="G260" s="13" t="str">
        <f t="shared" si="35"/>
        <v/>
      </c>
      <c r="H260" s="13" t="e">
        <f t="shared" si="36"/>
        <v>#VALUE!</v>
      </c>
      <c r="I260" s="47"/>
      <c r="J260" s="16">
        <f t="shared" si="37"/>
        <v>0</v>
      </c>
      <c r="K260" s="45" t="str">
        <f t="shared" si="38"/>
        <v>sábado</v>
      </c>
      <c r="L260" s="49"/>
      <c r="M260" s="50"/>
      <c r="N260" s="52">
        <f t="shared" si="39"/>
        <v>0</v>
      </c>
      <c r="O260" s="52">
        <f t="shared" si="40"/>
        <v>0</v>
      </c>
      <c r="P260" s="53">
        <f t="shared" si="41"/>
        <v>0</v>
      </c>
      <c r="Q260" s="54" t="str">
        <f t="shared" si="42"/>
        <v/>
      </c>
      <c r="R260" s="58" t="str">
        <f t="shared" si="43"/>
        <v/>
      </c>
      <c r="S260" s="80"/>
    </row>
    <row r="261" spans="1:19" s="44" customFormat="1">
      <c r="A261" s="15"/>
      <c r="B261" s="79"/>
      <c r="C261" s="18" t="str">
        <f>IF(B261="","",VLOOKUP(B261,'Tabla de proceso'!$B$6:$G$28,2,))</f>
        <v/>
      </c>
      <c r="D261" s="17" t="str">
        <f>IF(B261="","",VLOOKUP(B261,'Tabla de proceso'!$B$5:$G$28,3,0))</f>
        <v/>
      </c>
      <c r="E261" s="13" t="str">
        <f t="shared" si="33"/>
        <v/>
      </c>
      <c r="F261" s="13" t="str">
        <f t="shared" si="34"/>
        <v/>
      </c>
      <c r="G261" s="13" t="str">
        <f t="shared" si="35"/>
        <v/>
      </c>
      <c r="H261" s="13" t="e">
        <f t="shared" si="36"/>
        <v>#VALUE!</v>
      </c>
      <c r="I261" s="47"/>
      <c r="J261" s="16">
        <f t="shared" si="37"/>
        <v>0</v>
      </c>
      <c r="K261" s="45" t="str">
        <f t="shared" si="38"/>
        <v>sábado</v>
      </c>
      <c r="L261" s="49"/>
      <c r="M261" s="50"/>
      <c r="N261" s="52">
        <f t="shared" si="39"/>
        <v>0</v>
      </c>
      <c r="O261" s="52">
        <f t="shared" si="40"/>
        <v>0</v>
      </c>
      <c r="P261" s="53">
        <f t="shared" si="41"/>
        <v>0</v>
      </c>
      <c r="Q261" s="54" t="str">
        <f t="shared" si="42"/>
        <v/>
      </c>
      <c r="R261" s="58" t="str">
        <f t="shared" si="43"/>
        <v/>
      </c>
      <c r="S261" s="80"/>
    </row>
    <row r="262" spans="1:19" s="44" customFormat="1">
      <c r="A262" s="15"/>
      <c r="B262" s="79"/>
      <c r="C262" s="18" t="str">
        <f>IF(B262="","",VLOOKUP(B262,'Tabla de proceso'!$B$6:$G$28,2,))</f>
        <v/>
      </c>
      <c r="D262" s="17" t="str">
        <f>IF(B262="","",VLOOKUP(B262,'Tabla de proceso'!$B$5:$G$28,3,0))</f>
        <v/>
      </c>
      <c r="E262" s="13" t="str">
        <f t="shared" ref="E262:E325" si="44">D262</f>
        <v/>
      </c>
      <c r="F262" s="13" t="str">
        <f t="shared" ref="F262:F325" si="45">IF(E262="","",+$E262/9)</f>
        <v/>
      </c>
      <c r="G262" s="13" t="str">
        <f t="shared" ref="G262:G325" si="46">IF(E262="","",($E262/60)/9)</f>
        <v/>
      </c>
      <c r="H262" s="13" t="e">
        <f t="shared" ref="H262:H325" si="47">+$E262*5</f>
        <v>#VALUE!</v>
      </c>
      <c r="I262" s="47"/>
      <c r="J262" s="16">
        <f t="shared" ref="J262:J325" si="48">+WEEKNUM(I262)</f>
        <v>0</v>
      </c>
      <c r="K262" s="45" t="str">
        <f t="shared" ref="K262:K325" si="49">+TEXT($I262,"dddd")</f>
        <v>sábado</v>
      </c>
      <c r="L262" s="49"/>
      <c r="M262" s="50"/>
      <c r="N262" s="52">
        <f t="shared" ref="N262:N325" si="50">+HOUR($M262)</f>
        <v>0</v>
      </c>
      <c r="O262" s="52">
        <f t="shared" ref="O262:O325" si="51">+MINUTE($M262)</f>
        <v>0</v>
      </c>
      <c r="P262" s="53">
        <f t="shared" ref="P262:P325" si="52">+($N262*60)+$O262</f>
        <v>0</v>
      </c>
      <c r="Q262" s="54" t="str">
        <f t="shared" ref="Q262:Q325" si="53">IF(G262="","",+$G262*$P262)</f>
        <v/>
      </c>
      <c r="R262" s="58" t="str">
        <f t="shared" ref="R262:R325" si="54">IF($Q262="","",$L262/$Q262)</f>
        <v/>
      </c>
      <c r="S262" s="80"/>
    </row>
    <row r="263" spans="1:19" s="44" customFormat="1">
      <c r="A263" s="15"/>
      <c r="B263" s="79"/>
      <c r="C263" s="18" t="str">
        <f>IF(B263="","",VLOOKUP(B263,'Tabla de proceso'!$B$6:$G$28,2,))</f>
        <v/>
      </c>
      <c r="D263" s="17" t="str">
        <f>IF(B263="","",VLOOKUP(B263,'Tabla de proceso'!$B$5:$G$28,3,0))</f>
        <v/>
      </c>
      <c r="E263" s="13" t="str">
        <f t="shared" si="44"/>
        <v/>
      </c>
      <c r="F263" s="13" t="str">
        <f t="shared" si="45"/>
        <v/>
      </c>
      <c r="G263" s="13" t="str">
        <f t="shared" si="46"/>
        <v/>
      </c>
      <c r="H263" s="13" t="e">
        <f t="shared" si="47"/>
        <v>#VALUE!</v>
      </c>
      <c r="I263" s="47"/>
      <c r="J263" s="16">
        <f t="shared" si="48"/>
        <v>0</v>
      </c>
      <c r="K263" s="45" t="str">
        <f t="shared" si="49"/>
        <v>sábado</v>
      </c>
      <c r="L263" s="49"/>
      <c r="M263" s="50"/>
      <c r="N263" s="52">
        <f t="shared" si="50"/>
        <v>0</v>
      </c>
      <c r="O263" s="52">
        <f t="shared" si="51"/>
        <v>0</v>
      </c>
      <c r="P263" s="53">
        <f t="shared" si="52"/>
        <v>0</v>
      </c>
      <c r="Q263" s="54" t="str">
        <f t="shared" si="53"/>
        <v/>
      </c>
      <c r="R263" s="58" t="str">
        <f t="shared" si="54"/>
        <v/>
      </c>
      <c r="S263" s="80"/>
    </row>
    <row r="264" spans="1:19" s="44" customFormat="1">
      <c r="A264" s="15"/>
      <c r="B264" s="79"/>
      <c r="C264" s="18" t="str">
        <f>IF(B264="","",VLOOKUP(B264,'Tabla de proceso'!$B$6:$G$28,2,))</f>
        <v/>
      </c>
      <c r="D264" s="17" t="str">
        <f>IF(B264="","",VLOOKUP(B264,'Tabla de proceso'!$B$5:$G$28,3,0))</f>
        <v/>
      </c>
      <c r="E264" s="13" t="str">
        <f t="shared" si="44"/>
        <v/>
      </c>
      <c r="F264" s="13" t="str">
        <f t="shared" si="45"/>
        <v/>
      </c>
      <c r="G264" s="13" t="str">
        <f t="shared" si="46"/>
        <v/>
      </c>
      <c r="H264" s="13" t="e">
        <f t="shared" si="47"/>
        <v>#VALUE!</v>
      </c>
      <c r="I264" s="47"/>
      <c r="J264" s="16">
        <f t="shared" si="48"/>
        <v>0</v>
      </c>
      <c r="K264" s="45" t="str">
        <f t="shared" si="49"/>
        <v>sábado</v>
      </c>
      <c r="L264" s="49"/>
      <c r="M264" s="50"/>
      <c r="N264" s="52">
        <f t="shared" si="50"/>
        <v>0</v>
      </c>
      <c r="O264" s="52">
        <f t="shared" si="51"/>
        <v>0</v>
      </c>
      <c r="P264" s="53">
        <f t="shared" si="52"/>
        <v>0</v>
      </c>
      <c r="Q264" s="54" t="str">
        <f t="shared" si="53"/>
        <v/>
      </c>
      <c r="R264" s="58" t="str">
        <f t="shared" si="54"/>
        <v/>
      </c>
      <c r="S264" s="80"/>
    </row>
    <row r="265" spans="1:19" s="44" customFormat="1">
      <c r="A265" s="15"/>
      <c r="B265" s="79"/>
      <c r="C265" s="18" t="str">
        <f>IF(B265="","",VLOOKUP(B265,'Tabla de proceso'!$B$6:$G$28,2,))</f>
        <v/>
      </c>
      <c r="D265" s="17" t="str">
        <f>IF(B265="","",VLOOKUP(B265,'Tabla de proceso'!$B$5:$G$28,3,0))</f>
        <v/>
      </c>
      <c r="E265" s="13" t="str">
        <f t="shared" si="44"/>
        <v/>
      </c>
      <c r="F265" s="13" t="str">
        <f t="shared" si="45"/>
        <v/>
      </c>
      <c r="G265" s="13" t="str">
        <f t="shared" si="46"/>
        <v/>
      </c>
      <c r="H265" s="13" t="e">
        <f t="shared" si="47"/>
        <v>#VALUE!</v>
      </c>
      <c r="I265" s="47"/>
      <c r="J265" s="16">
        <f t="shared" si="48"/>
        <v>0</v>
      </c>
      <c r="K265" s="45" t="str">
        <f t="shared" si="49"/>
        <v>sábado</v>
      </c>
      <c r="L265" s="49"/>
      <c r="M265" s="50"/>
      <c r="N265" s="52">
        <f t="shared" si="50"/>
        <v>0</v>
      </c>
      <c r="O265" s="52">
        <f t="shared" si="51"/>
        <v>0</v>
      </c>
      <c r="P265" s="53">
        <f t="shared" si="52"/>
        <v>0</v>
      </c>
      <c r="Q265" s="54" t="str">
        <f t="shared" si="53"/>
        <v/>
      </c>
      <c r="R265" s="58" t="str">
        <f t="shared" si="54"/>
        <v/>
      </c>
      <c r="S265" s="80"/>
    </row>
    <row r="266" spans="1:19" s="44" customFormat="1">
      <c r="A266" s="15"/>
      <c r="B266" s="79"/>
      <c r="C266" s="18" t="str">
        <f>IF(B266="","",VLOOKUP(B266,'Tabla de proceso'!$B$6:$G$28,2,))</f>
        <v/>
      </c>
      <c r="D266" s="17" t="str">
        <f>IF(B266="","",VLOOKUP(B266,'Tabla de proceso'!$B$5:$G$28,3,0))</f>
        <v/>
      </c>
      <c r="E266" s="13" t="str">
        <f t="shared" si="44"/>
        <v/>
      </c>
      <c r="F266" s="13" t="str">
        <f t="shared" si="45"/>
        <v/>
      </c>
      <c r="G266" s="13" t="str">
        <f t="shared" si="46"/>
        <v/>
      </c>
      <c r="H266" s="13" t="e">
        <f t="shared" si="47"/>
        <v>#VALUE!</v>
      </c>
      <c r="I266" s="47"/>
      <c r="J266" s="16">
        <f t="shared" si="48"/>
        <v>0</v>
      </c>
      <c r="K266" s="45" t="str">
        <f t="shared" si="49"/>
        <v>sábado</v>
      </c>
      <c r="L266" s="49"/>
      <c r="M266" s="50"/>
      <c r="N266" s="52">
        <f t="shared" si="50"/>
        <v>0</v>
      </c>
      <c r="O266" s="52">
        <f t="shared" si="51"/>
        <v>0</v>
      </c>
      <c r="P266" s="53">
        <f t="shared" si="52"/>
        <v>0</v>
      </c>
      <c r="Q266" s="54" t="str">
        <f t="shared" si="53"/>
        <v/>
      </c>
      <c r="R266" s="58" t="str">
        <f t="shared" si="54"/>
        <v/>
      </c>
      <c r="S266" s="80"/>
    </row>
    <row r="267" spans="1:19" s="44" customFormat="1">
      <c r="A267" s="15"/>
      <c r="B267" s="79"/>
      <c r="C267" s="18" t="str">
        <f>IF(B267="","",VLOOKUP(B267,'Tabla de proceso'!$B$6:$G$28,2,))</f>
        <v/>
      </c>
      <c r="D267" s="17" t="str">
        <f>IF(B267="","",VLOOKUP(B267,'Tabla de proceso'!$B$5:$G$28,3,0))</f>
        <v/>
      </c>
      <c r="E267" s="13" t="str">
        <f t="shared" si="44"/>
        <v/>
      </c>
      <c r="F267" s="13" t="str">
        <f t="shared" si="45"/>
        <v/>
      </c>
      <c r="G267" s="13" t="str">
        <f t="shared" si="46"/>
        <v/>
      </c>
      <c r="H267" s="13" t="e">
        <f t="shared" si="47"/>
        <v>#VALUE!</v>
      </c>
      <c r="I267" s="47"/>
      <c r="J267" s="16">
        <f t="shared" si="48"/>
        <v>0</v>
      </c>
      <c r="K267" s="45" t="str">
        <f t="shared" si="49"/>
        <v>sábado</v>
      </c>
      <c r="L267" s="49"/>
      <c r="M267" s="50"/>
      <c r="N267" s="52">
        <f t="shared" si="50"/>
        <v>0</v>
      </c>
      <c r="O267" s="52">
        <f t="shared" si="51"/>
        <v>0</v>
      </c>
      <c r="P267" s="53">
        <f t="shared" si="52"/>
        <v>0</v>
      </c>
      <c r="Q267" s="54" t="str">
        <f t="shared" si="53"/>
        <v/>
      </c>
      <c r="R267" s="58" t="str">
        <f t="shared" si="54"/>
        <v/>
      </c>
      <c r="S267" s="80"/>
    </row>
    <row r="268" spans="1:19" s="44" customFormat="1">
      <c r="A268" s="15"/>
      <c r="B268" s="79"/>
      <c r="C268" s="18" t="str">
        <f>IF(B268="","",VLOOKUP(B268,'Tabla de proceso'!$B$6:$G$28,2,))</f>
        <v/>
      </c>
      <c r="D268" s="17" t="str">
        <f>IF(B268="","",VLOOKUP(B268,'Tabla de proceso'!$B$5:$G$28,3,0))</f>
        <v/>
      </c>
      <c r="E268" s="13" t="str">
        <f t="shared" si="44"/>
        <v/>
      </c>
      <c r="F268" s="13" t="str">
        <f t="shared" si="45"/>
        <v/>
      </c>
      <c r="G268" s="13" t="str">
        <f t="shared" si="46"/>
        <v/>
      </c>
      <c r="H268" s="13" t="e">
        <f t="shared" si="47"/>
        <v>#VALUE!</v>
      </c>
      <c r="I268" s="47"/>
      <c r="J268" s="16">
        <f t="shared" si="48"/>
        <v>0</v>
      </c>
      <c r="K268" s="45" t="str">
        <f t="shared" si="49"/>
        <v>sábado</v>
      </c>
      <c r="L268" s="49"/>
      <c r="M268" s="50"/>
      <c r="N268" s="52">
        <f t="shared" si="50"/>
        <v>0</v>
      </c>
      <c r="O268" s="52">
        <f t="shared" si="51"/>
        <v>0</v>
      </c>
      <c r="P268" s="53">
        <f t="shared" si="52"/>
        <v>0</v>
      </c>
      <c r="Q268" s="54" t="str">
        <f t="shared" si="53"/>
        <v/>
      </c>
      <c r="R268" s="58" t="str">
        <f t="shared" si="54"/>
        <v/>
      </c>
      <c r="S268" s="80"/>
    </row>
    <row r="269" spans="1:19" s="44" customFormat="1">
      <c r="A269" s="15"/>
      <c r="B269" s="79"/>
      <c r="C269" s="18" t="str">
        <f>IF(B269="","",VLOOKUP(B269,'Tabla de proceso'!$B$6:$G$28,2,))</f>
        <v/>
      </c>
      <c r="D269" s="17" t="str">
        <f>IF(B269="","",VLOOKUP(B269,'Tabla de proceso'!$B$5:$G$28,3,0))</f>
        <v/>
      </c>
      <c r="E269" s="13" t="str">
        <f t="shared" si="44"/>
        <v/>
      </c>
      <c r="F269" s="13" t="str">
        <f t="shared" si="45"/>
        <v/>
      </c>
      <c r="G269" s="13" t="str">
        <f t="shared" si="46"/>
        <v/>
      </c>
      <c r="H269" s="13" t="e">
        <f t="shared" si="47"/>
        <v>#VALUE!</v>
      </c>
      <c r="I269" s="47"/>
      <c r="J269" s="16">
        <f t="shared" si="48"/>
        <v>0</v>
      </c>
      <c r="K269" s="45" t="str">
        <f t="shared" si="49"/>
        <v>sábado</v>
      </c>
      <c r="L269" s="49"/>
      <c r="M269" s="50"/>
      <c r="N269" s="52">
        <f t="shared" si="50"/>
        <v>0</v>
      </c>
      <c r="O269" s="52">
        <f t="shared" si="51"/>
        <v>0</v>
      </c>
      <c r="P269" s="53">
        <f t="shared" si="52"/>
        <v>0</v>
      </c>
      <c r="Q269" s="54" t="str">
        <f t="shared" si="53"/>
        <v/>
      </c>
      <c r="R269" s="58" t="str">
        <f t="shared" si="54"/>
        <v/>
      </c>
      <c r="S269" s="80"/>
    </row>
    <row r="270" spans="1:19" s="44" customFormat="1">
      <c r="A270" s="15"/>
      <c r="B270" s="79"/>
      <c r="C270" s="18" t="str">
        <f>IF(B270="","",VLOOKUP(B270,'Tabla de proceso'!$B$6:$G$28,2,))</f>
        <v/>
      </c>
      <c r="D270" s="17" t="str">
        <f>IF(B270="","",VLOOKUP(B270,'Tabla de proceso'!$B$5:$G$28,3,0))</f>
        <v/>
      </c>
      <c r="E270" s="13" t="str">
        <f t="shared" si="44"/>
        <v/>
      </c>
      <c r="F270" s="13" t="str">
        <f t="shared" si="45"/>
        <v/>
      </c>
      <c r="G270" s="13" t="str">
        <f t="shared" si="46"/>
        <v/>
      </c>
      <c r="H270" s="13" t="e">
        <f t="shared" si="47"/>
        <v>#VALUE!</v>
      </c>
      <c r="I270" s="47"/>
      <c r="J270" s="16">
        <f t="shared" si="48"/>
        <v>0</v>
      </c>
      <c r="K270" s="45" t="str">
        <f t="shared" si="49"/>
        <v>sábado</v>
      </c>
      <c r="L270" s="49"/>
      <c r="M270" s="50"/>
      <c r="N270" s="52">
        <f t="shared" si="50"/>
        <v>0</v>
      </c>
      <c r="O270" s="52">
        <f t="shared" si="51"/>
        <v>0</v>
      </c>
      <c r="P270" s="53">
        <f t="shared" si="52"/>
        <v>0</v>
      </c>
      <c r="Q270" s="54" t="str">
        <f t="shared" si="53"/>
        <v/>
      </c>
      <c r="R270" s="58" t="str">
        <f t="shared" si="54"/>
        <v/>
      </c>
      <c r="S270" s="80"/>
    </row>
    <row r="271" spans="1:19" s="44" customFormat="1">
      <c r="A271" s="15"/>
      <c r="B271" s="79"/>
      <c r="C271" s="18" t="str">
        <f>IF(B271="","",VLOOKUP(B271,'Tabla de proceso'!$B$6:$G$28,2,))</f>
        <v/>
      </c>
      <c r="D271" s="17" t="str">
        <f>IF(B271="","",VLOOKUP(B271,'Tabla de proceso'!$B$5:$G$28,3,0))</f>
        <v/>
      </c>
      <c r="E271" s="13" t="str">
        <f t="shared" si="44"/>
        <v/>
      </c>
      <c r="F271" s="13" t="str">
        <f t="shared" si="45"/>
        <v/>
      </c>
      <c r="G271" s="13" t="str">
        <f t="shared" si="46"/>
        <v/>
      </c>
      <c r="H271" s="13" t="e">
        <f t="shared" si="47"/>
        <v>#VALUE!</v>
      </c>
      <c r="I271" s="47"/>
      <c r="J271" s="16">
        <f t="shared" si="48"/>
        <v>0</v>
      </c>
      <c r="K271" s="45" t="str">
        <f t="shared" si="49"/>
        <v>sábado</v>
      </c>
      <c r="L271" s="49"/>
      <c r="M271" s="50"/>
      <c r="N271" s="52">
        <f t="shared" si="50"/>
        <v>0</v>
      </c>
      <c r="O271" s="52">
        <f t="shared" si="51"/>
        <v>0</v>
      </c>
      <c r="P271" s="53">
        <f t="shared" si="52"/>
        <v>0</v>
      </c>
      <c r="Q271" s="54" t="str">
        <f t="shared" si="53"/>
        <v/>
      </c>
      <c r="R271" s="58" t="str">
        <f t="shared" si="54"/>
        <v/>
      </c>
      <c r="S271" s="80"/>
    </row>
    <row r="272" spans="1:19" s="44" customFormat="1">
      <c r="A272" s="15"/>
      <c r="B272" s="79"/>
      <c r="C272" s="18" t="str">
        <f>IF(B272="","",VLOOKUP(B272,'Tabla de proceso'!$B$6:$G$28,2,))</f>
        <v/>
      </c>
      <c r="D272" s="17" t="str">
        <f>IF(B272="","",VLOOKUP(B272,'Tabla de proceso'!$B$5:$G$28,3,0))</f>
        <v/>
      </c>
      <c r="E272" s="13" t="str">
        <f t="shared" si="44"/>
        <v/>
      </c>
      <c r="F272" s="13" t="str">
        <f t="shared" si="45"/>
        <v/>
      </c>
      <c r="G272" s="13" t="str">
        <f t="shared" si="46"/>
        <v/>
      </c>
      <c r="H272" s="13" t="e">
        <f t="shared" si="47"/>
        <v>#VALUE!</v>
      </c>
      <c r="I272" s="47"/>
      <c r="J272" s="16">
        <f t="shared" si="48"/>
        <v>0</v>
      </c>
      <c r="K272" s="45" t="str">
        <f t="shared" si="49"/>
        <v>sábado</v>
      </c>
      <c r="L272" s="49"/>
      <c r="M272" s="50"/>
      <c r="N272" s="52">
        <f t="shared" si="50"/>
        <v>0</v>
      </c>
      <c r="O272" s="52">
        <f t="shared" si="51"/>
        <v>0</v>
      </c>
      <c r="P272" s="53">
        <f t="shared" si="52"/>
        <v>0</v>
      </c>
      <c r="Q272" s="54" t="str">
        <f t="shared" si="53"/>
        <v/>
      </c>
      <c r="R272" s="58" t="str">
        <f t="shared" si="54"/>
        <v/>
      </c>
      <c r="S272" s="80"/>
    </row>
    <row r="273" spans="1:19" s="44" customFormat="1">
      <c r="A273" s="15"/>
      <c r="B273" s="79"/>
      <c r="C273" s="18" t="str">
        <f>IF(B273="","",VLOOKUP(B273,'Tabla de proceso'!$B$6:$G$28,2,))</f>
        <v/>
      </c>
      <c r="D273" s="17" t="str">
        <f>IF(B273="","",VLOOKUP(B273,'Tabla de proceso'!$B$5:$G$28,3,0))</f>
        <v/>
      </c>
      <c r="E273" s="13" t="str">
        <f t="shared" si="44"/>
        <v/>
      </c>
      <c r="F273" s="13" t="str">
        <f t="shared" si="45"/>
        <v/>
      </c>
      <c r="G273" s="13" t="str">
        <f t="shared" si="46"/>
        <v/>
      </c>
      <c r="H273" s="13" t="e">
        <f t="shared" si="47"/>
        <v>#VALUE!</v>
      </c>
      <c r="I273" s="47"/>
      <c r="J273" s="16">
        <f t="shared" si="48"/>
        <v>0</v>
      </c>
      <c r="K273" s="45" t="str">
        <f t="shared" si="49"/>
        <v>sábado</v>
      </c>
      <c r="L273" s="49"/>
      <c r="M273" s="50"/>
      <c r="N273" s="52">
        <f t="shared" si="50"/>
        <v>0</v>
      </c>
      <c r="O273" s="52">
        <f t="shared" si="51"/>
        <v>0</v>
      </c>
      <c r="P273" s="53">
        <f t="shared" si="52"/>
        <v>0</v>
      </c>
      <c r="Q273" s="54" t="str">
        <f t="shared" si="53"/>
        <v/>
      </c>
      <c r="R273" s="58" t="str">
        <f t="shared" si="54"/>
        <v/>
      </c>
      <c r="S273" s="80"/>
    </row>
    <row r="274" spans="1:19" s="44" customFormat="1">
      <c r="A274" s="15"/>
      <c r="B274" s="79"/>
      <c r="C274" s="18" t="str">
        <f>IF(B274="","",VLOOKUP(B274,'Tabla de proceso'!$B$6:$G$28,2,))</f>
        <v/>
      </c>
      <c r="D274" s="17" t="str">
        <f>IF(B274="","",VLOOKUP(B274,'Tabla de proceso'!$B$5:$G$28,3,0))</f>
        <v/>
      </c>
      <c r="E274" s="13" t="str">
        <f t="shared" si="44"/>
        <v/>
      </c>
      <c r="F274" s="13" t="str">
        <f t="shared" si="45"/>
        <v/>
      </c>
      <c r="G274" s="13" t="str">
        <f t="shared" si="46"/>
        <v/>
      </c>
      <c r="H274" s="13" t="e">
        <f t="shared" si="47"/>
        <v>#VALUE!</v>
      </c>
      <c r="I274" s="47"/>
      <c r="J274" s="16">
        <f t="shared" si="48"/>
        <v>0</v>
      </c>
      <c r="K274" s="45" t="str">
        <f t="shared" si="49"/>
        <v>sábado</v>
      </c>
      <c r="L274" s="49"/>
      <c r="M274" s="50"/>
      <c r="N274" s="52">
        <f t="shared" si="50"/>
        <v>0</v>
      </c>
      <c r="O274" s="52">
        <f t="shared" si="51"/>
        <v>0</v>
      </c>
      <c r="P274" s="53">
        <f t="shared" si="52"/>
        <v>0</v>
      </c>
      <c r="Q274" s="54" t="str">
        <f t="shared" si="53"/>
        <v/>
      </c>
      <c r="R274" s="58" t="str">
        <f t="shared" si="54"/>
        <v/>
      </c>
      <c r="S274" s="80"/>
    </row>
    <row r="275" spans="1:19" s="44" customFormat="1">
      <c r="A275" s="15"/>
      <c r="B275" s="79"/>
      <c r="C275" s="18" t="str">
        <f>IF(B275="","",VLOOKUP(B275,'Tabla de proceso'!$B$6:$G$28,2,))</f>
        <v/>
      </c>
      <c r="D275" s="17" t="str">
        <f>IF(B275="","",VLOOKUP(B275,'Tabla de proceso'!$B$5:$G$28,3,0))</f>
        <v/>
      </c>
      <c r="E275" s="13" t="str">
        <f t="shared" si="44"/>
        <v/>
      </c>
      <c r="F275" s="13" t="str">
        <f t="shared" si="45"/>
        <v/>
      </c>
      <c r="G275" s="13" t="str">
        <f t="shared" si="46"/>
        <v/>
      </c>
      <c r="H275" s="13" t="e">
        <f t="shared" si="47"/>
        <v>#VALUE!</v>
      </c>
      <c r="I275" s="47"/>
      <c r="J275" s="16">
        <f t="shared" si="48"/>
        <v>0</v>
      </c>
      <c r="K275" s="45" t="str">
        <f t="shared" si="49"/>
        <v>sábado</v>
      </c>
      <c r="L275" s="49"/>
      <c r="M275" s="50"/>
      <c r="N275" s="52">
        <f t="shared" si="50"/>
        <v>0</v>
      </c>
      <c r="O275" s="52">
        <f t="shared" si="51"/>
        <v>0</v>
      </c>
      <c r="P275" s="53">
        <f t="shared" si="52"/>
        <v>0</v>
      </c>
      <c r="Q275" s="54" t="str">
        <f t="shared" si="53"/>
        <v/>
      </c>
      <c r="R275" s="58" t="str">
        <f t="shared" si="54"/>
        <v/>
      </c>
      <c r="S275" s="80"/>
    </row>
    <row r="276" spans="1:19" s="44" customFormat="1">
      <c r="A276" s="15"/>
      <c r="B276" s="79"/>
      <c r="C276" s="18" t="str">
        <f>IF(B276="","",VLOOKUP(B276,'Tabla de proceso'!$B$6:$G$28,2,))</f>
        <v/>
      </c>
      <c r="D276" s="17" t="str">
        <f>IF(B276="","",VLOOKUP(B276,'Tabla de proceso'!$B$5:$G$28,3,0))</f>
        <v/>
      </c>
      <c r="E276" s="13" t="str">
        <f t="shared" si="44"/>
        <v/>
      </c>
      <c r="F276" s="13" t="str">
        <f t="shared" si="45"/>
        <v/>
      </c>
      <c r="G276" s="13" t="str">
        <f t="shared" si="46"/>
        <v/>
      </c>
      <c r="H276" s="13" t="e">
        <f t="shared" si="47"/>
        <v>#VALUE!</v>
      </c>
      <c r="I276" s="47"/>
      <c r="J276" s="16">
        <f t="shared" si="48"/>
        <v>0</v>
      </c>
      <c r="K276" s="45" t="str">
        <f t="shared" si="49"/>
        <v>sábado</v>
      </c>
      <c r="L276" s="49"/>
      <c r="M276" s="50"/>
      <c r="N276" s="52">
        <f t="shared" si="50"/>
        <v>0</v>
      </c>
      <c r="O276" s="52">
        <f t="shared" si="51"/>
        <v>0</v>
      </c>
      <c r="P276" s="53">
        <f t="shared" si="52"/>
        <v>0</v>
      </c>
      <c r="Q276" s="54" t="str">
        <f t="shared" si="53"/>
        <v/>
      </c>
      <c r="R276" s="58" t="str">
        <f t="shared" si="54"/>
        <v/>
      </c>
      <c r="S276" s="80"/>
    </row>
    <row r="277" spans="1:19" s="44" customFormat="1">
      <c r="A277" s="15"/>
      <c r="B277" s="79"/>
      <c r="C277" s="18" t="str">
        <f>IF(B277="","",VLOOKUP(B277,'Tabla de proceso'!$B$6:$G$28,2,))</f>
        <v/>
      </c>
      <c r="D277" s="17" t="str">
        <f>IF(B277="","",VLOOKUP(B277,'Tabla de proceso'!$B$5:$G$28,3,0))</f>
        <v/>
      </c>
      <c r="E277" s="13" t="str">
        <f t="shared" si="44"/>
        <v/>
      </c>
      <c r="F277" s="13" t="str">
        <f t="shared" si="45"/>
        <v/>
      </c>
      <c r="G277" s="13" t="str">
        <f t="shared" si="46"/>
        <v/>
      </c>
      <c r="H277" s="13" t="e">
        <f t="shared" si="47"/>
        <v>#VALUE!</v>
      </c>
      <c r="I277" s="47"/>
      <c r="J277" s="16">
        <f t="shared" si="48"/>
        <v>0</v>
      </c>
      <c r="K277" s="45" t="str">
        <f t="shared" si="49"/>
        <v>sábado</v>
      </c>
      <c r="L277" s="49"/>
      <c r="M277" s="50"/>
      <c r="N277" s="52">
        <f t="shared" si="50"/>
        <v>0</v>
      </c>
      <c r="O277" s="52">
        <f t="shared" si="51"/>
        <v>0</v>
      </c>
      <c r="P277" s="53">
        <f t="shared" si="52"/>
        <v>0</v>
      </c>
      <c r="Q277" s="54" t="str">
        <f t="shared" si="53"/>
        <v/>
      </c>
      <c r="R277" s="58" t="str">
        <f t="shared" si="54"/>
        <v/>
      </c>
      <c r="S277" s="80"/>
    </row>
    <row r="278" spans="1:19" s="44" customFormat="1">
      <c r="A278" s="15"/>
      <c r="B278" s="79"/>
      <c r="C278" s="18" t="str">
        <f>IF(B278="","",VLOOKUP(B278,'Tabla de proceso'!$B$6:$G$28,2,))</f>
        <v/>
      </c>
      <c r="D278" s="17" t="str">
        <f>IF(B278="","",VLOOKUP(B278,'Tabla de proceso'!$B$5:$G$28,3,0))</f>
        <v/>
      </c>
      <c r="E278" s="13" t="str">
        <f t="shared" si="44"/>
        <v/>
      </c>
      <c r="F278" s="13" t="str">
        <f t="shared" si="45"/>
        <v/>
      </c>
      <c r="G278" s="13" t="str">
        <f t="shared" si="46"/>
        <v/>
      </c>
      <c r="H278" s="13" t="e">
        <f t="shared" si="47"/>
        <v>#VALUE!</v>
      </c>
      <c r="I278" s="47"/>
      <c r="J278" s="16">
        <f t="shared" si="48"/>
        <v>0</v>
      </c>
      <c r="K278" s="45" t="str">
        <f t="shared" si="49"/>
        <v>sábado</v>
      </c>
      <c r="L278" s="49"/>
      <c r="M278" s="50"/>
      <c r="N278" s="52">
        <f t="shared" si="50"/>
        <v>0</v>
      </c>
      <c r="O278" s="52">
        <f t="shared" si="51"/>
        <v>0</v>
      </c>
      <c r="P278" s="53">
        <f t="shared" si="52"/>
        <v>0</v>
      </c>
      <c r="Q278" s="54" t="str">
        <f t="shared" si="53"/>
        <v/>
      </c>
      <c r="R278" s="58" t="str">
        <f t="shared" si="54"/>
        <v/>
      </c>
      <c r="S278" s="80"/>
    </row>
    <row r="279" spans="1:19" s="44" customFormat="1">
      <c r="A279" s="15"/>
      <c r="B279" s="79"/>
      <c r="C279" s="18" t="str">
        <f>IF(B279="","",VLOOKUP(B279,'Tabla de proceso'!$B$6:$G$28,2,))</f>
        <v/>
      </c>
      <c r="D279" s="17" t="str">
        <f>IF(B279="","",VLOOKUP(B279,'Tabla de proceso'!$B$5:$G$28,3,0))</f>
        <v/>
      </c>
      <c r="E279" s="13" t="str">
        <f t="shared" si="44"/>
        <v/>
      </c>
      <c r="F279" s="13" t="str">
        <f t="shared" si="45"/>
        <v/>
      </c>
      <c r="G279" s="13" t="str">
        <f t="shared" si="46"/>
        <v/>
      </c>
      <c r="H279" s="13" t="e">
        <f t="shared" si="47"/>
        <v>#VALUE!</v>
      </c>
      <c r="I279" s="47"/>
      <c r="J279" s="16">
        <f t="shared" si="48"/>
        <v>0</v>
      </c>
      <c r="K279" s="45" t="str">
        <f t="shared" si="49"/>
        <v>sábado</v>
      </c>
      <c r="L279" s="49"/>
      <c r="M279" s="50"/>
      <c r="N279" s="52">
        <f t="shared" si="50"/>
        <v>0</v>
      </c>
      <c r="O279" s="52">
        <f t="shared" si="51"/>
        <v>0</v>
      </c>
      <c r="P279" s="53">
        <f t="shared" si="52"/>
        <v>0</v>
      </c>
      <c r="Q279" s="54" t="str">
        <f t="shared" si="53"/>
        <v/>
      </c>
      <c r="R279" s="58" t="str">
        <f t="shared" si="54"/>
        <v/>
      </c>
      <c r="S279" s="80"/>
    </row>
    <row r="280" spans="1:19" s="44" customFormat="1">
      <c r="A280" s="15"/>
      <c r="B280" s="79"/>
      <c r="C280" s="18" t="str">
        <f>IF(B280="","",VLOOKUP(B280,'Tabla de proceso'!$B$6:$G$28,2,))</f>
        <v/>
      </c>
      <c r="D280" s="17" t="str">
        <f>IF(B280="","",VLOOKUP(B280,'Tabla de proceso'!$B$5:$G$28,3,0))</f>
        <v/>
      </c>
      <c r="E280" s="13" t="str">
        <f t="shared" si="44"/>
        <v/>
      </c>
      <c r="F280" s="13" t="str">
        <f t="shared" si="45"/>
        <v/>
      </c>
      <c r="G280" s="13" t="str">
        <f t="shared" si="46"/>
        <v/>
      </c>
      <c r="H280" s="13" t="e">
        <f t="shared" si="47"/>
        <v>#VALUE!</v>
      </c>
      <c r="I280" s="47"/>
      <c r="J280" s="16">
        <f t="shared" si="48"/>
        <v>0</v>
      </c>
      <c r="K280" s="45" t="str">
        <f t="shared" si="49"/>
        <v>sábado</v>
      </c>
      <c r="L280" s="49"/>
      <c r="M280" s="50"/>
      <c r="N280" s="52">
        <f t="shared" si="50"/>
        <v>0</v>
      </c>
      <c r="O280" s="52">
        <f t="shared" si="51"/>
        <v>0</v>
      </c>
      <c r="P280" s="53">
        <f t="shared" si="52"/>
        <v>0</v>
      </c>
      <c r="Q280" s="54" t="str">
        <f t="shared" si="53"/>
        <v/>
      </c>
      <c r="R280" s="58" t="str">
        <f t="shared" si="54"/>
        <v/>
      </c>
      <c r="S280" s="80"/>
    </row>
    <row r="281" spans="1:19" s="44" customFormat="1">
      <c r="A281" s="15"/>
      <c r="B281" s="79"/>
      <c r="C281" s="18" t="str">
        <f>IF(B281="","",VLOOKUP(B281,'Tabla de proceso'!$B$6:$G$28,2,))</f>
        <v/>
      </c>
      <c r="D281" s="17" t="str">
        <f>IF(B281="","",VLOOKUP(B281,'Tabla de proceso'!$B$5:$G$28,3,0))</f>
        <v/>
      </c>
      <c r="E281" s="13" t="str">
        <f t="shared" si="44"/>
        <v/>
      </c>
      <c r="F281" s="13" t="str">
        <f t="shared" si="45"/>
        <v/>
      </c>
      <c r="G281" s="13" t="str">
        <f t="shared" si="46"/>
        <v/>
      </c>
      <c r="H281" s="13" t="e">
        <f t="shared" si="47"/>
        <v>#VALUE!</v>
      </c>
      <c r="I281" s="47"/>
      <c r="J281" s="16">
        <f t="shared" si="48"/>
        <v>0</v>
      </c>
      <c r="K281" s="45" t="str">
        <f t="shared" si="49"/>
        <v>sábado</v>
      </c>
      <c r="L281" s="49"/>
      <c r="M281" s="50"/>
      <c r="N281" s="52">
        <f t="shared" si="50"/>
        <v>0</v>
      </c>
      <c r="O281" s="52">
        <f t="shared" si="51"/>
        <v>0</v>
      </c>
      <c r="P281" s="53">
        <f t="shared" si="52"/>
        <v>0</v>
      </c>
      <c r="Q281" s="54" t="str">
        <f t="shared" si="53"/>
        <v/>
      </c>
      <c r="R281" s="58" t="str">
        <f t="shared" si="54"/>
        <v/>
      </c>
      <c r="S281" s="80"/>
    </row>
    <row r="282" spans="1:19" s="44" customFormat="1">
      <c r="A282" s="15"/>
      <c r="B282" s="79"/>
      <c r="C282" s="18" t="str">
        <f>IF(B282="","",VLOOKUP(B282,'Tabla de proceso'!$B$6:$G$28,2,))</f>
        <v/>
      </c>
      <c r="D282" s="17" t="str">
        <f>IF(B282="","",VLOOKUP(B282,'Tabla de proceso'!$B$5:$G$28,3,0))</f>
        <v/>
      </c>
      <c r="E282" s="13" t="str">
        <f t="shared" si="44"/>
        <v/>
      </c>
      <c r="F282" s="13" t="str">
        <f t="shared" si="45"/>
        <v/>
      </c>
      <c r="G282" s="13" t="str">
        <f t="shared" si="46"/>
        <v/>
      </c>
      <c r="H282" s="13" t="e">
        <f t="shared" si="47"/>
        <v>#VALUE!</v>
      </c>
      <c r="I282" s="47"/>
      <c r="J282" s="16">
        <f t="shared" si="48"/>
        <v>0</v>
      </c>
      <c r="K282" s="45" t="str">
        <f t="shared" si="49"/>
        <v>sábado</v>
      </c>
      <c r="L282" s="49"/>
      <c r="M282" s="50"/>
      <c r="N282" s="52">
        <f t="shared" si="50"/>
        <v>0</v>
      </c>
      <c r="O282" s="52">
        <f t="shared" si="51"/>
        <v>0</v>
      </c>
      <c r="P282" s="53">
        <f t="shared" si="52"/>
        <v>0</v>
      </c>
      <c r="Q282" s="54" t="str">
        <f t="shared" si="53"/>
        <v/>
      </c>
      <c r="R282" s="58" t="str">
        <f t="shared" si="54"/>
        <v/>
      </c>
      <c r="S282" s="80"/>
    </row>
    <row r="283" spans="1:19" s="44" customFormat="1">
      <c r="A283" s="15"/>
      <c r="B283" s="79"/>
      <c r="C283" s="18" t="str">
        <f>IF(B283="","",VLOOKUP(B283,'Tabla de proceso'!$B$6:$G$28,2,))</f>
        <v/>
      </c>
      <c r="D283" s="17" t="str">
        <f>IF(B283="","",VLOOKUP(B283,'Tabla de proceso'!$B$5:$G$28,3,0))</f>
        <v/>
      </c>
      <c r="E283" s="13" t="str">
        <f t="shared" si="44"/>
        <v/>
      </c>
      <c r="F283" s="13" t="str">
        <f t="shared" si="45"/>
        <v/>
      </c>
      <c r="G283" s="13" t="str">
        <f t="shared" si="46"/>
        <v/>
      </c>
      <c r="H283" s="13" t="e">
        <f t="shared" si="47"/>
        <v>#VALUE!</v>
      </c>
      <c r="I283" s="47"/>
      <c r="J283" s="16">
        <f t="shared" si="48"/>
        <v>0</v>
      </c>
      <c r="K283" s="45" t="str">
        <f t="shared" si="49"/>
        <v>sábado</v>
      </c>
      <c r="L283" s="49"/>
      <c r="M283" s="50"/>
      <c r="N283" s="52">
        <f t="shared" si="50"/>
        <v>0</v>
      </c>
      <c r="O283" s="52">
        <f t="shared" si="51"/>
        <v>0</v>
      </c>
      <c r="P283" s="53">
        <f t="shared" si="52"/>
        <v>0</v>
      </c>
      <c r="Q283" s="54" t="str">
        <f t="shared" si="53"/>
        <v/>
      </c>
      <c r="R283" s="58" t="str">
        <f t="shared" si="54"/>
        <v/>
      </c>
      <c r="S283" s="80"/>
    </row>
    <row r="284" spans="1:19" s="44" customFormat="1">
      <c r="A284" s="15"/>
      <c r="B284" s="79"/>
      <c r="C284" s="18" t="str">
        <f>IF(B284="","",VLOOKUP(B284,'Tabla de proceso'!$B$6:$G$28,2,))</f>
        <v/>
      </c>
      <c r="D284" s="17" t="str">
        <f>IF(B284="","",VLOOKUP(B284,'Tabla de proceso'!$B$5:$G$28,3,0))</f>
        <v/>
      </c>
      <c r="E284" s="13" t="str">
        <f t="shared" si="44"/>
        <v/>
      </c>
      <c r="F284" s="13" t="str">
        <f t="shared" si="45"/>
        <v/>
      </c>
      <c r="G284" s="13" t="str">
        <f t="shared" si="46"/>
        <v/>
      </c>
      <c r="H284" s="13" t="e">
        <f t="shared" si="47"/>
        <v>#VALUE!</v>
      </c>
      <c r="I284" s="47"/>
      <c r="J284" s="16">
        <f t="shared" si="48"/>
        <v>0</v>
      </c>
      <c r="K284" s="45" t="str">
        <f t="shared" si="49"/>
        <v>sábado</v>
      </c>
      <c r="L284" s="49"/>
      <c r="M284" s="50"/>
      <c r="N284" s="52">
        <f t="shared" si="50"/>
        <v>0</v>
      </c>
      <c r="O284" s="52">
        <f t="shared" si="51"/>
        <v>0</v>
      </c>
      <c r="P284" s="53">
        <f t="shared" si="52"/>
        <v>0</v>
      </c>
      <c r="Q284" s="54" t="str">
        <f t="shared" si="53"/>
        <v/>
      </c>
      <c r="R284" s="58" t="str">
        <f t="shared" si="54"/>
        <v/>
      </c>
      <c r="S284" s="80"/>
    </row>
    <row r="285" spans="1:19" s="44" customFormat="1">
      <c r="A285" s="15"/>
      <c r="B285" s="79"/>
      <c r="C285" s="18" t="str">
        <f>IF(B285="","",VLOOKUP(B285,'Tabla de proceso'!$B$6:$G$28,2,))</f>
        <v/>
      </c>
      <c r="D285" s="17" t="str">
        <f>IF(B285="","",VLOOKUP(B285,'Tabla de proceso'!$B$5:$G$28,3,0))</f>
        <v/>
      </c>
      <c r="E285" s="13" t="str">
        <f t="shared" si="44"/>
        <v/>
      </c>
      <c r="F285" s="13" t="str">
        <f t="shared" si="45"/>
        <v/>
      </c>
      <c r="G285" s="13" t="str">
        <f t="shared" si="46"/>
        <v/>
      </c>
      <c r="H285" s="13" t="e">
        <f t="shared" si="47"/>
        <v>#VALUE!</v>
      </c>
      <c r="I285" s="47"/>
      <c r="J285" s="16">
        <f t="shared" si="48"/>
        <v>0</v>
      </c>
      <c r="K285" s="45" t="str">
        <f t="shared" si="49"/>
        <v>sábado</v>
      </c>
      <c r="L285" s="49"/>
      <c r="M285" s="50"/>
      <c r="N285" s="52">
        <f t="shared" si="50"/>
        <v>0</v>
      </c>
      <c r="O285" s="52">
        <f t="shared" si="51"/>
        <v>0</v>
      </c>
      <c r="P285" s="53">
        <f t="shared" si="52"/>
        <v>0</v>
      </c>
      <c r="Q285" s="54" t="str">
        <f t="shared" si="53"/>
        <v/>
      </c>
      <c r="R285" s="58" t="str">
        <f t="shared" si="54"/>
        <v/>
      </c>
      <c r="S285" s="80"/>
    </row>
    <row r="286" spans="1:19" s="44" customFormat="1">
      <c r="A286" s="15"/>
      <c r="B286" s="79"/>
      <c r="C286" s="18" t="str">
        <f>IF(B286="","",VLOOKUP(B286,'Tabla de proceso'!$B$6:$G$28,2,))</f>
        <v/>
      </c>
      <c r="D286" s="17" t="str">
        <f>IF(B286="","",VLOOKUP(B286,'Tabla de proceso'!$B$5:$G$28,3,0))</f>
        <v/>
      </c>
      <c r="E286" s="13" t="str">
        <f t="shared" si="44"/>
        <v/>
      </c>
      <c r="F286" s="13" t="str">
        <f t="shared" si="45"/>
        <v/>
      </c>
      <c r="G286" s="13" t="str">
        <f t="shared" si="46"/>
        <v/>
      </c>
      <c r="H286" s="13" t="e">
        <f t="shared" si="47"/>
        <v>#VALUE!</v>
      </c>
      <c r="I286" s="47"/>
      <c r="J286" s="16">
        <f t="shared" si="48"/>
        <v>0</v>
      </c>
      <c r="K286" s="45" t="str">
        <f t="shared" si="49"/>
        <v>sábado</v>
      </c>
      <c r="L286" s="49"/>
      <c r="M286" s="50"/>
      <c r="N286" s="52">
        <f t="shared" si="50"/>
        <v>0</v>
      </c>
      <c r="O286" s="52">
        <f t="shared" si="51"/>
        <v>0</v>
      </c>
      <c r="P286" s="53">
        <f t="shared" si="52"/>
        <v>0</v>
      </c>
      <c r="Q286" s="54" t="str">
        <f t="shared" si="53"/>
        <v/>
      </c>
      <c r="R286" s="58" t="str">
        <f t="shared" si="54"/>
        <v/>
      </c>
      <c r="S286" s="80"/>
    </row>
    <row r="287" spans="1:19" s="44" customFormat="1">
      <c r="A287" s="15"/>
      <c r="B287" s="79"/>
      <c r="C287" s="18" t="str">
        <f>IF(B287="","",VLOOKUP(B287,'Tabla de proceso'!$B$6:$G$28,2,))</f>
        <v/>
      </c>
      <c r="D287" s="17" t="str">
        <f>IF(B287="","",VLOOKUP(B287,'Tabla de proceso'!$B$5:$G$28,3,0))</f>
        <v/>
      </c>
      <c r="E287" s="13" t="str">
        <f t="shared" si="44"/>
        <v/>
      </c>
      <c r="F287" s="13" t="str">
        <f t="shared" si="45"/>
        <v/>
      </c>
      <c r="G287" s="13" t="str">
        <f t="shared" si="46"/>
        <v/>
      </c>
      <c r="H287" s="13" t="e">
        <f t="shared" si="47"/>
        <v>#VALUE!</v>
      </c>
      <c r="I287" s="47"/>
      <c r="J287" s="16">
        <f t="shared" si="48"/>
        <v>0</v>
      </c>
      <c r="K287" s="45" t="str">
        <f t="shared" si="49"/>
        <v>sábado</v>
      </c>
      <c r="L287" s="49"/>
      <c r="M287" s="50"/>
      <c r="N287" s="52">
        <f t="shared" si="50"/>
        <v>0</v>
      </c>
      <c r="O287" s="52">
        <f t="shared" si="51"/>
        <v>0</v>
      </c>
      <c r="P287" s="53">
        <f t="shared" si="52"/>
        <v>0</v>
      </c>
      <c r="Q287" s="54" t="str">
        <f t="shared" si="53"/>
        <v/>
      </c>
      <c r="R287" s="58" t="str">
        <f t="shared" si="54"/>
        <v/>
      </c>
      <c r="S287" s="80"/>
    </row>
    <row r="288" spans="1:19" s="44" customFormat="1">
      <c r="A288" s="15"/>
      <c r="B288" s="79"/>
      <c r="C288" s="18" t="str">
        <f>IF(B288="","",VLOOKUP(B288,'Tabla de proceso'!$B$6:$G$28,2,))</f>
        <v/>
      </c>
      <c r="D288" s="17" t="str">
        <f>IF(B288="","",VLOOKUP(B288,'Tabla de proceso'!$B$5:$G$28,3,0))</f>
        <v/>
      </c>
      <c r="E288" s="13" t="str">
        <f t="shared" si="44"/>
        <v/>
      </c>
      <c r="F288" s="13" t="str">
        <f t="shared" si="45"/>
        <v/>
      </c>
      <c r="G288" s="13" t="str">
        <f t="shared" si="46"/>
        <v/>
      </c>
      <c r="H288" s="13" t="e">
        <f t="shared" si="47"/>
        <v>#VALUE!</v>
      </c>
      <c r="I288" s="47"/>
      <c r="J288" s="16">
        <f t="shared" si="48"/>
        <v>0</v>
      </c>
      <c r="K288" s="45" t="str">
        <f t="shared" si="49"/>
        <v>sábado</v>
      </c>
      <c r="L288" s="49"/>
      <c r="M288" s="50"/>
      <c r="N288" s="52">
        <f t="shared" si="50"/>
        <v>0</v>
      </c>
      <c r="O288" s="52">
        <f t="shared" si="51"/>
        <v>0</v>
      </c>
      <c r="P288" s="53">
        <f t="shared" si="52"/>
        <v>0</v>
      </c>
      <c r="Q288" s="54" t="str">
        <f t="shared" si="53"/>
        <v/>
      </c>
      <c r="R288" s="58" t="str">
        <f t="shared" si="54"/>
        <v/>
      </c>
      <c r="S288" s="80"/>
    </row>
    <row r="289" spans="1:19" s="44" customFormat="1">
      <c r="A289" s="15"/>
      <c r="B289" s="79"/>
      <c r="C289" s="18" t="str">
        <f>IF(B289="","",VLOOKUP(B289,'Tabla de proceso'!$B$6:$G$28,2,))</f>
        <v/>
      </c>
      <c r="D289" s="17" t="str">
        <f>IF(B289="","",VLOOKUP(B289,'Tabla de proceso'!$B$5:$G$28,3,0))</f>
        <v/>
      </c>
      <c r="E289" s="13" t="str">
        <f t="shared" si="44"/>
        <v/>
      </c>
      <c r="F289" s="13" t="str">
        <f t="shared" si="45"/>
        <v/>
      </c>
      <c r="G289" s="13" t="str">
        <f t="shared" si="46"/>
        <v/>
      </c>
      <c r="H289" s="13" t="e">
        <f t="shared" si="47"/>
        <v>#VALUE!</v>
      </c>
      <c r="I289" s="47"/>
      <c r="J289" s="16">
        <f t="shared" si="48"/>
        <v>0</v>
      </c>
      <c r="K289" s="45" t="str">
        <f t="shared" si="49"/>
        <v>sábado</v>
      </c>
      <c r="L289" s="49"/>
      <c r="M289" s="50"/>
      <c r="N289" s="52">
        <f t="shared" si="50"/>
        <v>0</v>
      </c>
      <c r="O289" s="52">
        <f t="shared" si="51"/>
        <v>0</v>
      </c>
      <c r="P289" s="53">
        <f t="shared" si="52"/>
        <v>0</v>
      </c>
      <c r="Q289" s="54" t="str">
        <f t="shared" si="53"/>
        <v/>
      </c>
      <c r="R289" s="58" t="str">
        <f t="shared" si="54"/>
        <v/>
      </c>
      <c r="S289" s="80"/>
    </row>
    <row r="290" spans="1:19" s="44" customFormat="1">
      <c r="A290" s="15"/>
      <c r="B290" s="79"/>
      <c r="C290" s="18" t="str">
        <f>IF(B290="","",VLOOKUP(B290,'Tabla de proceso'!$B$6:$G$28,2,))</f>
        <v/>
      </c>
      <c r="D290" s="17" t="str">
        <f>IF(B290="","",VLOOKUP(B290,'Tabla de proceso'!$B$5:$G$28,3,0))</f>
        <v/>
      </c>
      <c r="E290" s="13" t="str">
        <f t="shared" si="44"/>
        <v/>
      </c>
      <c r="F290" s="13" t="str">
        <f t="shared" si="45"/>
        <v/>
      </c>
      <c r="G290" s="13" t="str">
        <f t="shared" si="46"/>
        <v/>
      </c>
      <c r="H290" s="13" t="e">
        <f t="shared" si="47"/>
        <v>#VALUE!</v>
      </c>
      <c r="I290" s="47"/>
      <c r="J290" s="16">
        <f t="shared" si="48"/>
        <v>0</v>
      </c>
      <c r="K290" s="45" t="str">
        <f t="shared" si="49"/>
        <v>sábado</v>
      </c>
      <c r="L290" s="49"/>
      <c r="M290" s="50"/>
      <c r="N290" s="52">
        <f t="shared" si="50"/>
        <v>0</v>
      </c>
      <c r="O290" s="52">
        <f t="shared" si="51"/>
        <v>0</v>
      </c>
      <c r="P290" s="53">
        <f t="shared" si="52"/>
        <v>0</v>
      </c>
      <c r="Q290" s="54" t="str">
        <f t="shared" si="53"/>
        <v/>
      </c>
      <c r="R290" s="58" t="str">
        <f t="shared" si="54"/>
        <v/>
      </c>
      <c r="S290" s="80"/>
    </row>
    <row r="291" spans="1:19" s="44" customFormat="1">
      <c r="A291" s="15"/>
      <c r="B291" s="79"/>
      <c r="C291" s="18" t="str">
        <f>IF(B291="","",VLOOKUP(B291,'Tabla de proceso'!$B$6:$G$28,2,))</f>
        <v/>
      </c>
      <c r="D291" s="17" t="str">
        <f>IF(B291="","",VLOOKUP(B291,'Tabla de proceso'!$B$5:$G$28,3,0))</f>
        <v/>
      </c>
      <c r="E291" s="13" t="str">
        <f t="shared" si="44"/>
        <v/>
      </c>
      <c r="F291" s="13" t="str">
        <f t="shared" si="45"/>
        <v/>
      </c>
      <c r="G291" s="13" t="str">
        <f t="shared" si="46"/>
        <v/>
      </c>
      <c r="H291" s="13" t="e">
        <f t="shared" si="47"/>
        <v>#VALUE!</v>
      </c>
      <c r="I291" s="47"/>
      <c r="J291" s="16">
        <f t="shared" si="48"/>
        <v>0</v>
      </c>
      <c r="K291" s="45" t="str">
        <f t="shared" si="49"/>
        <v>sábado</v>
      </c>
      <c r="L291" s="49"/>
      <c r="M291" s="50"/>
      <c r="N291" s="52">
        <f t="shared" si="50"/>
        <v>0</v>
      </c>
      <c r="O291" s="52">
        <f t="shared" si="51"/>
        <v>0</v>
      </c>
      <c r="P291" s="53">
        <f t="shared" si="52"/>
        <v>0</v>
      </c>
      <c r="Q291" s="54" t="str">
        <f t="shared" si="53"/>
        <v/>
      </c>
      <c r="R291" s="58" t="str">
        <f t="shared" si="54"/>
        <v/>
      </c>
      <c r="S291" s="80"/>
    </row>
    <row r="292" spans="1:19" s="44" customFormat="1">
      <c r="A292" s="15"/>
      <c r="B292" s="79"/>
      <c r="C292" s="18" t="str">
        <f>IF(B292="","",VLOOKUP(B292,'Tabla de proceso'!$B$6:$G$28,2,))</f>
        <v/>
      </c>
      <c r="D292" s="17" t="str">
        <f>IF(B292="","",VLOOKUP(B292,'Tabla de proceso'!$B$5:$G$28,3,0))</f>
        <v/>
      </c>
      <c r="E292" s="13" t="str">
        <f t="shared" si="44"/>
        <v/>
      </c>
      <c r="F292" s="13" t="str">
        <f t="shared" si="45"/>
        <v/>
      </c>
      <c r="G292" s="13" t="str">
        <f t="shared" si="46"/>
        <v/>
      </c>
      <c r="H292" s="13" t="e">
        <f t="shared" si="47"/>
        <v>#VALUE!</v>
      </c>
      <c r="I292" s="47"/>
      <c r="J292" s="16">
        <f t="shared" si="48"/>
        <v>0</v>
      </c>
      <c r="K292" s="45" t="str">
        <f t="shared" si="49"/>
        <v>sábado</v>
      </c>
      <c r="L292" s="49"/>
      <c r="M292" s="50"/>
      <c r="N292" s="52">
        <f t="shared" si="50"/>
        <v>0</v>
      </c>
      <c r="O292" s="52">
        <f t="shared" si="51"/>
        <v>0</v>
      </c>
      <c r="P292" s="53">
        <f t="shared" si="52"/>
        <v>0</v>
      </c>
      <c r="Q292" s="54" t="str">
        <f t="shared" si="53"/>
        <v/>
      </c>
      <c r="R292" s="58" t="str">
        <f t="shared" si="54"/>
        <v/>
      </c>
      <c r="S292" s="80"/>
    </row>
    <row r="293" spans="1:19" s="44" customFormat="1">
      <c r="A293" s="15"/>
      <c r="B293" s="79"/>
      <c r="C293" s="18" t="str">
        <f>IF(B293="","",VLOOKUP(B293,'Tabla de proceso'!$B$6:$G$28,2,))</f>
        <v/>
      </c>
      <c r="D293" s="17" t="str">
        <f>IF(B293="","",VLOOKUP(B293,'Tabla de proceso'!$B$5:$G$28,3,0))</f>
        <v/>
      </c>
      <c r="E293" s="13" t="str">
        <f t="shared" si="44"/>
        <v/>
      </c>
      <c r="F293" s="13" t="str">
        <f t="shared" si="45"/>
        <v/>
      </c>
      <c r="G293" s="13" t="str">
        <f t="shared" si="46"/>
        <v/>
      </c>
      <c r="H293" s="13" t="e">
        <f t="shared" si="47"/>
        <v>#VALUE!</v>
      </c>
      <c r="I293" s="47"/>
      <c r="J293" s="16">
        <f t="shared" si="48"/>
        <v>0</v>
      </c>
      <c r="K293" s="45" t="str">
        <f t="shared" si="49"/>
        <v>sábado</v>
      </c>
      <c r="L293" s="49"/>
      <c r="M293" s="50"/>
      <c r="N293" s="52">
        <f t="shared" si="50"/>
        <v>0</v>
      </c>
      <c r="O293" s="52">
        <f t="shared" si="51"/>
        <v>0</v>
      </c>
      <c r="P293" s="53">
        <f t="shared" si="52"/>
        <v>0</v>
      </c>
      <c r="Q293" s="54" t="str">
        <f t="shared" si="53"/>
        <v/>
      </c>
      <c r="R293" s="58" t="str">
        <f t="shared" si="54"/>
        <v/>
      </c>
      <c r="S293" s="80"/>
    </row>
    <row r="294" spans="1:19" s="44" customFormat="1">
      <c r="A294" s="15"/>
      <c r="B294" s="79"/>
      <c r="C294" s="18" t="str">
        <f>IF(B294="","",VLOOKUP(B294,'Tabla de proceso'!$B$6:$G$28,2,))</f>
        <v/>
      </c>
      <c r="D294" s="17" t="str">
        <f>IF(B294="","",VLOOKUP(B294,'Tabla de proceso'!$B$5:$G$28,3,0))</f>
        <v/>
      </c>
      <c r="E294" s="13" t="str">
        <f t="shared" si="44"/>
        <v/>
      </c>
      <c r="F294" s="13" t="str">
        <f t="shared" si="45"/>
        <v/>
      </c>
      <c r="G294" s="13" t="str">
        <f t="shared" si="46"/>
        <v/>
      </c>
      <c r="H294" s="13" t="e">
        <f t="shared" si="47"/>
        <v>#VALUE!</v>
      </c>
      <c r="I294" s="47"/>
      <c r="J294" s="16">
        <f t="shared" si="48"/>
        <v>0</v>
      </c>
      <c r="K294" s="45" t="str">
        <f t="shared" si="49"/>
        <v>sábado</v>
      </c>
      <c r="L294" s="49"/>
      <c r="M294" s="50"/>
      <c r="N294" s="52">
        <f t="shared" si="50"/>
        <v>0</v>
      </c>
      <c r="O294" s="52">
        <f t="shared" si="51"/>
        <v>0</v>
      </c>
      <c r="P294" s="53">
        <f t="shared" si="52"/>
        <v>0</v>
      </c>
      <c r="Q294" s="54" t="str">
        <f t="shared" si="53"/>
        <v/>
      </c>
      <c r="R294" s="58" t="str">
        <f t="shared" si="54"/>
        <v/>
      </c>
      <c r="S294" s="80"/>
    </row>
    <row r="295" spans="1:19" s="44" customFormat="1">
      <c r="A295" s="15"/>
      <c r="B295" s="79"/>
      <c r="C295" s="18" t="str">
        <f>IF(B295="","",VLOOKUP(B295,'Tabla de proceso'!$B$6:$G$28,2,))</f>
        <v/>
      </c>
      <c r="D295" s="17" t="str">
        <f>IF(B295="","",VLOOKUP(B295,'Tabla de proceso'!$B$5:$G$28,3,0))</f>
        <v/>
      </c>
      <c r="E295" s="13" t="str">
        <f t="shared" si="44"/>
        <v/>
      </c>
      <c r="F295" s="13" t="str">
        <f t="shared" si="45"/>
        <v/>
      </c>
      <c r="G295" s="13" t="str">
        <f t="shared" si="46"/>
        <v/>
      </c>
      <c r="H295" s="13" t="e">
        <f t="shared" si="47"/>
        <v>#VALUE!</v>
      </c>
      <c r="I295" s="47"/>
      <c r="J295" s="16">
        <f t="shared" si="48"/>
        <v>0</v>
      </c>
      <c r="K295" s="45" t="str">
        <f t="shared" si="49"/>
        <v>sábado</v>
      </c>
      <c r="L295" s="49"/>
      <c r="M295" s="50"/>
      <c r="N295" s="52">
        <f t="shared" si="50"/>
        <v>0</v>
      </c>
      <c r="O295" s="52">
        <f t="shared" si="51"/>
        <v>0</v>
      </c>
      <c r="P295" s="53">
        <f t="shared" si="52"/>
        <v>0</v>
      </c>
      <c r="Q295" s="54" t="str">
        <f t="shared" si="53"/>
        <v/>
      </c>
      <c r="R295" s="58" t="str">
        <f t="shared" si="54"/>
        <v/>
      </c>
      <c r="S295" s="80"/>
    </row>
    <row r="296" spans="1:19" s="44" customFormat="1">
      <c r="A296" s="15"/>
      <c r="B296" s="79"/>
      <c r="C296" s="18" t="str">
        <f>IF(B296="","",VLOOKUP(B296,'Tabla de proceso'!$B$6:$G$28,2,))</f>
        <v/>
      </c>
      <c r="D296" s="17" t="str">
        <f>IF(B296="","",VLOOKUP(B296,'Tabla de proceso'!$B$5:$G$28,3,0))</f>
        <v/>
      </c>
      <c r="E296" s="13" t="str">
        <f t="shared" si="44"/>
        <v/>
      </c>
      <c r="F296" s="13" t="str">
        <f t="shared" si="45"/>
        <v/>
      </c>
      <c r="G296" s="13" t="str">
        <f t="shared" si="46"/>
        <v/>
      </c>
      <c r="H296" s="13" t="e">
        <f t="shared" si="47"/>
        <v>#VALUE!</v>
      </c>
      <c r="I296" s="47"/>
      <c r="J296" s="16">
        <f t="shared" si="48"/>
        <v>0</v>
      </c>
      <c r="K296" s="45" t="str">
        <f t="shared" si="49"/>
        <v>sábado</v>
      </c>
      <c r="L296" s="49"/>
      <c r="M296" s="50"/>
      <c r="N296" s="52">
        <f t="shared" si="50"/>
        <v>0</v>
      </c>
      <c r="O296" s="52">
        <f t="shared" si="51"/>
        <v>0</v>
      </c>
      <c r="P296" s="53">
        <f t="shared" si="52"/>
        <v>0</v>
      </c>
      <c r="Q296" s="54" t="str">
        <f t="shared" si="53"/>
        <v/>
      </c>
      <c r="R296" s="58" t="str">
        <f t="shared" si="54"/>
        <v/>
      </c>
      <c r="S296" s="80"/>
    </row>
    <row r="297" spans="1:19" s="44" customFormat="1">
      <c r="A297" s="15"/>
      <c r="B297" s="79"/>
      <c r="C297" s="18" t="str">
        <f>IF(B297="","",VLOOKUP(B297,'Tabla de proceso'!$B$6:$G$28,2,))</f>
        <v/>
      </c>
      <c r="D297" s="17" t="str">
        <f>IF(B297="","",VLOOKUP(B297,'Tabla de proceso'!$B$5:$G$28,3,0))</f>
        <v/>
      </c>
      <c r="E297" s="13" t="str">
        <f t="shared" si="44"/>
        <v/>
      </c>
      <c r="F297" s="13" t="str">
        <f t="shared" si="45"/>
        <v/>
      </c>
      <c r="G297" s="13" t="str">
        <f t="shared" si="46"/>
        <v/>
      </c>
      <c r="H297" s="13" t="e">
        <f t="shared" si="47"/>
        <v>#VALUE!</v>
      </c>
      <c r="I297" s="47"/>
      <c r="J297" s="16">
        <f t="shared" si="48"/>
        <v>0</v>
      </c>
      <c r="K297" s="45" t="str">
        <f t="shared" si="49"/>
        <v>sábado</v>
      </c>
      <c r="L297" s="49"/>
      <c r="M297" s="50"/>
      <c r="N297" s="52">
        <f t="shared" si="50"/>
        <v>0</v>
      </c>
      <c r="O297" s="52">
        <f t="shared" si="51"/>
        <v>0</v>
      </c>
      <c r="P297" s="53">
        <f t="shared" si="52"/>
        <v>0</v>
      </c>
      <c r="Q297" s="54" t="str">
        <f t="shared" si="53"/>
        <v/>
      </c>
      <c r="R297" s="58" t="str">
        <f t="shared" si="54"/>
        <v/>
      </c>
      <c r="S297" s="80"/>
    </row>
    <row r="298" spans="1:19" s="44" customFormat="1">
      <c r="A298" s="15"/>
      <c r="B298" s="79"/>
      <c r="C298" s="18" t="str">
        <f>IF(B298="","",VLOOKUP(B298,'Tabla de proceso'!$B$6:$G$28,2,))</f>
        <v/>
      </c>
      <c r="D298" s="17" t="str">
        <f>IF(B298="","",VLOOKUP(B298,'Tabla de proceso'!$B$5:$G$28,3,0))</f>
        <v/>
      </c>
      <c r="E298" s="13" t="str">
        <f t="shared" si="44"/>
        <v/>
      </c>
      <c r="F298" s="13" t="str">
        <f t="shared" si="45"/>
        <v/>
      </c>
      <c r="G298" s="13" t="str">
        <f t="shared" si="46"/>
        <v/>
      </c>
      <c r="H298" s="13" t="e">
        <f t="shared" si="47"/>
        <v>#VALUE!</v>
      </c>
      <c r="I298" s="47"/>
      <c r="J298" s="16">
        <f t="shared" si="48"/>
        <v>0</v>
      </c>
      <c r="K298" s="45" t="str">
        <f t="shared" si="49"/>
        <v>sábado</v>
      </c>
      <c r="L298" s="49"/>
      <c r="M298" s="50"/>
      <c r="N298" s="52">
        <f t="shared" si="50"/>
        <v>0</v>
      </c>
      <c r="O298" s="52">
        <f t="shared" si="51"/>
        <v>0</v>
      </c>
      <c r="P298" s="53">
        <f t="shared" si="52"/>
        <v>0</v>
      </c>
      <c r="Q298" s="54" t="str">
        <f t="shared" si="53"/>
        <v/>
      </c>
      <c r="R298" s="58" t="str">
        <f t="shared" si="54"/>
        <v/>
      </c>
      <c r="S298" s="80"/>
    </row>
    <row r="299" spans="1:19" s="44" customFormat="1">
      <c r="A299" s="15"/>
      <c r="B299" s="79"/>
      <c r="C299" s="18" t="str">
        <f>IF(B299="","",VLOOKUP(B299,'Tabla de proceso'!$B$6:$G$28,2,))</f>
        <v/>
      </c>
      <c r="D299" s="17" t="str">
        <f>IF(B299="","",VLOOKUP(B299,'Tabla de proceso'!$B$5:$G$28,3,0))</f>
        <v/>
      </c>
      <c r="E299" s="13" t="str">
        <f t="shared" si="44"/>
        <v/>
      </c>
      <c r="F299" s="13" t="str">
        <f t="shared" si="45"/>
        <v/>
      </c>
      <c r="G299" s="13" t="str">
        <f t="shared" si="46"/>
        <v/>
      </c>
      <c r="H299" s="13" t="e">
        <f t="shared" si="47"/>
        <v>#VALUE!</v>
      </c>
      <c r="I299" s="47"/>
      <c r="J299" s="16">
        <f t="shared" si="48"/>
        <v>0</v>
      </c>
      <c r="K299" s="45" t="str">
        <f t="shared" si="49"/>
        <v>sábado</v>
      </c>
      <c r="L299" s="49"/>
      <c r="M299" s="50"/>
      <c r="N299" s="52">
        <f t="shared" si="50"/>
        <v>0</v>
      </c>
      <c r="O299" s="52">
        <f t="shared" si="51"/>
        <v>0</v>
      </c>
      <c r="P299" s="53">
        <f t="shared" si="52"/>
        <v>0</v>
      </c>
      <c r="Q299" s="54" t="str">
        <f t="shared" si="53"/>
        <v/>
      </c>
      <c r="R299" s="58" t="str">
        <f t="shared" si="54"/>
        <v/>
      </c>
      <c r="S299" s="80"/>
    </row>
    <row r="300" spans="1:19" s="44" customFormat="1">
      <c r="A300" s="15"/>
      <c r="B300" s="79"/>
      <c r="C300" s="18" t="str">
        <f>IF(B300="","",VLOOKUP(B300,'Tabla de proceso'!$B$6:$G$28,2,))</f>
        <v/>
      </c>
      <c r="D300" s="17" t="str">
        <f>IF(B300="","",VLOOKUP(B300,'Tabla de proceso'!$B$5:$G$28,3,0))</f>
        <v/>
      </c>
      <c r="E300" s="13" t="str">
        <f t="shared" si="44"/>
        <v/>
      </c>
      <c r="F300" s="13" t="str">
        <f t="shared" si="45"/>
        <v/>
      </c>
      <c r="G300" s="13" t="str">
        <f t="shared" si="46"/>
        <v/>
      </c>
      <c r="H300" s="13" t="e">
        <f t="shared" si="47"/>
        <v>#VALUE!</v>
      </c>
      <c r="I300" s="47"/>
      <c r="J300" s="16">
        <f t="shared" si="48"/>
        <v>0</v>
      </c>
      <c r="K300" s="45" t="str">
        <f t="shared" si="49"/>
        <v>sábado</v>
      </c>
      <c r="L300" s="49"/>
      <c r="M300" s="50"/>
      <c r="N300" s="52">
        <f t="shared" si="50"/>
        <v>0</v>
      </c>
      <c r="O300" s="52">
        <f t="shared" si="51"/>
        <v>0</v>
      </c>
      <c r="P300" s="53">
        <f t="shared" si="52"/>
        <v>0</v>
      </c>
      <c r="Q300" s="54" t="str">
        <f t="shared" si="53"/>
        <v/>
      </c>
      <c r="R300" s="58" t="str">
        <f t="shared" si="54"/>
        <v/>
      </c>
      <c r="S300" s="80"/>
    </row>
    <row r="301" spans="1:19" s="44" customFormat="1">
      <c r="A301" s="15"/>
      <c r="B301" s="79"/>
      <c r="C301" s="18" t="str">
        <f>IF(B301="","",VLOOKUP(B301,'Tabla de proceso'!$B$6:$G$28,2,))</f>
        <v/>
      </c>
      <c r="D301" s="17" t="str">
        <f>IF(B301="","",VLOOKUP(B301,'Tabla de proceso'!$B$5:$G$28,3,0))</f>
        <v/>
      </c>
      <c r="E301" s="13" t="str">
        <f t="shared" si="44"/>
        <v/>
      </c>
      <c r="F301" s="13" t="str">
        <f t="shared" si="45"/>
        <v/>
      </c>
      <c r="G301" s="13" t="str">
        <f t="shared" si="46"/>
        <v/>
      </c>
      <c r="H301" s="13" t="e">
        <f t="shared" si="47"/>
        <v>#VALUE!</v>
      </c>
      <c r="I301" s="47"/>
      <c r="J301" s="16">
        <f t="shared" si="48"/>
        <v>0</v>
      </c>
      <c r="K301" s="45" t="str">
        <f t="shared" si="49"/>
        <v>sábado</v>
      </c>
      <c r="L301" s="49"/>
      <c r="M301" s="50"/>
      <c r="N301" s="52">
        <f t="shared" si="50"/>
        <v>0</v>
      </c>
      <c r="O301" s="52">
        <f t="shared" si="51"/>
        <v>0</v>
      </c>
      <c r="P301" s="53">
        <f t="shared" si="52"/>
        <v>0</v>
      </c>
      <c r="Q301" s="54" t="str">
        <f t="shared" si="53"/>
        <v/>
      </c>
      <c r="R301" s="58" t="str">
        <f t="shared" si="54"/>
        <v/>
      </c>
      <c r="S301" s="80"/>
    </row>
    <row r="302" spans="1:19" s="44" customFormat="1">
      <c r="A302" s="15"/>
      <c r="B302" s="79"/>
      <c r="C302" s="18" t="str">
        <f>IF(B302="","",VLOOKUP(B302,'Tabla de proceso'!$B$6:$G$28,2,))</f>
        <v/>
      </c>
      <c r="D302" s="17" t="str">
        <f>IF(B302="","",VLOOKUP(B302,'Tabla de proceso'!$B$5:$G$28,3,0))</f>
        <v/>
      </c>
      <c r="E302" s="13" t="str">
        <f t="shared" si="44"/>
        <v/>
      </c>
      <c r="F302" s="13" t="str">
        <f t="shared" si="45"/>
        <v/>
      </c>
      <c r="G302" s="13" t="str">
        <f t="shared" si="46"/>
        <v/>
      </c>
      <c r="H302" s="13" t="e">
        <f t="shared" si="47"/>
        <v>#VALUE!</v>
      </c>
      <c r="I302" s="47"/>
      <c r="J302" s="16">
        <f t="shared" si="48"/>
        <v>0</v>
      </c>
      <c r="K302" s="45" t="str">
        <f t="shared" si="49"/>
        <v>sábado</v>
      </c>
      <c r="L302" s="49"/>
      <c r="M302" s="50"/>
      <c r="N302" s="52">
        <f t="shared" si="50"/>
        <v>0</v>
      </c>
      <c r="O302" s="52">
        <f t="shared" si="51"/>
        <v>0</v>
      </c>
      <c r="P302" s="53">
        <f t="shared" si="52"/>
        <v>0</v>
      </c>
      <c r="Q302" s="54" t="str">
        <f t="shared" si="53"/>
        <v/>
      </c>
      <c r="R302" s="58" t="str">
        <f t="shared" si="54"/>
        <v/>
      </c>
      <c r="S302" s="51"/>
    </row>
    <row r="303" spans="1:19" s="44" customFormat="1">
      <c r="A303" s="15"/>
      <c r="B303" s="75"/>
      <c r="C303" s="18" t="str">
        <f>IF(B303="","",VLOOKUP(B303,'Tabla de proceso'!$B$6:$G$28,2,))</f>
        <v/>
      </c>
      <c r="D303" s="17" t="str">
        <f>IF(B303="","",VLOOKUP(B303,'Tabla de proceso'!$B$5:$G$28,3,0))</f>
        <v/>
      </c>
      <c r="E303" s="13" t="str">
        <f t="shared" si="44"/>
        <v/>
      </c>
      <c r="F303" s="13" t="str">
        <f t="shared" si="45"/>
        <v/>
      </c>
      <c r="G303" s="13" t="str">
        <f t="shared" si="46"/>
        <v/>
      </c>
      <c r="H303" s="13" t="e">
        <f t="shared" si="47"/>
        <v>#VALUE!</v>
      </c>
      <c r="I303" s="47"/>
      <c r="J303" s="16">
        <f t="shared" si="48"/>
        <v>0</v>
      </c>
      <c r="K303" s="45" t="str">
        <f t="shared" si="49"/>
        <v>sábado</v>
      </c>
      <c r="L303" s="49"/>
      <c r="M303" s="50"/>
      <c r="N303" s="52">
        <f t="shared" si="50"/>
        <v>0</v>
      </c>
      <c r="O303" s="52">
        <f t="shared" si="51"/>
        <v>0</v>
      </c>
      <c r="P303" s="53">
        <f t="shared" si="52"/>
        <v>0</v>
      </c>
      <c r="Q303" s="54" t="str">
        <f t="shared" si="53"/>
        <v/>
      </c>
      <c r="R303" s="58" t="str">
        <f t="shared" si="54"/>
        <v/>
      </c>
      <c r="S303" s="51"/>
    </row>
    <row r="304" spans="1:19" s="44" customFormat="1">
      <c r="A304" s="15"/>
      <c r="B304" s="76"/>
      <c r="C304" s="18" t="str">
        <f>IF(B304="","",VLOOKUP(B304,'Tabla de proceso'!$B$6:$G$28,2,))</f>
        <v/>
      </c>
      <c r="D304" s="17" t="str">
        <f>IF(B304="","",VLOOKUP(B304,'Tabla de proceso'!$B$5:$G$28,3,0))</f>
        <v/>
      </c>
      <c r="E304" s="13" t="str">
        <f t="shared" si="44"/>
        <v/>
      </c>
      <c r="F304" s="13" t="str">
        <f t="shared" si="45"/>
        <v/>
      </c>
      <c r="G304" s="13" t="str">
        <f t="shared" si="46"/>
        <v/>
      </c>
      <c r="H304" s="13" t="e">
        <f t="shared" si="47"/>
        <v>#VALUE!</v>
      </c>
      <c r="I304" s="47"/>
      <c r="J304" s="16">
        <f t="shared" si="48"/>
        <v>0</v>
      </c>
      <c r="K304" s="45" t="str">
        <f t="shared" si="49"/>
        <v>sábado</v>
      </c>
      <c r="L304" s="49"/>
      <c r="M304" s="50"/>
      <c r="N304" s="52">
        <f t="shared" si="50"/>
        <v>0</v>
      </c>
      <c r="O304" s="52">
        <f t="shared" si="51"/>
        <v>0</v>
      </c>
      <c r="P304" s="53">
        <f t="shared" si="52"/>
        <v>0</v>
      </c>
      <c r="Q304" s="54" t="str">
        <f t="shared" si="53"/>
        <v/>
      </c>
      <c r="R304" s="58" t="str">
        <f t="shared" si="54"/>
        <v/>
      </c>
      <c r="S304" s="51"/>
    </row>
    <row r="305" spans="1:19" s="44" customFormat="1">
      <c r="A305" s="15"/>
      <c r="B305" s="76"/>
      <c r="C305" s="18" t="str">
        <f>IF(B305="","",VLOOKUP(B305,'Tabla de proceso'!$B$6:$G$28,2,))</f>
        <v/>
      </c>
      <c r="D305" s="17" t="str">
        <f>IF(B305="","",VLOOKUP(B305,'Tabla de proceso'!$B$5:$G$28,3,0))</f>
        <v/>
      </c>
      <c r="E305" s="13" t="str">
        <f t="shared" si="44"/>
        <v/>
      </c>
      <c r="F305" s="13" t="str">
        <f t="shared" si="45"/>
        <v/>
      </c>
      <c r="G305" s="13" t="str">
        <f t="shared" si="46"/>
        <v/>
      </c>
      <c r="H305" s="13" t="e">
        <f t="shared" si="47"/>
        <v>#VALUE!</v>
      </c>
      <c r="I305" s="47"/>
      <c r="J305" s="16">
        <f t="shared" si="48"/>
        <v>0</v>
      </c>
      <c r="K305" s="45" t="str">
        <f t="shared" si="49"/>
        <v>sábado</v>
      </c>
      <c r="L305" s="49"/>
      <c r="M305" s="50"/>
      <c r="N305" s="52">
        <f t="shared" si="50"/>
        <v>0</v>
      </c>
      <c r="O305" s="52">
        <f t="shared" si="51"/>
        <v>0</v>
      </c>
      <c r="P305" s="53">
        <f t="shared" si="52"/>
        <v>0</v>
      </c>
      <c r="Q305" s="54" t="str">
        <f t="shared" si="53"/>
        <v/>
      </c>
      <c r="R305" s="58" t="str">
        <f t="shared" si="54"/>
        <v/>
      </c>
      <c r="S305" s="51"/>
    </row>
    <row r="306" spans="1:19" s="44" customFormat="1">
      <c r="A306" s="15"/>
      <c r="B306" s="76"/>
      <c r="C306" s="18" t="str">
        <f>IF(B306="","",VLOOKUP(B306,'Tabla de proceso'!$B$6:$G$28,2,))</f>
        <v/>
      </c>
      <c r="D306" s="17" t="str">
        <f>IF(B306="","",VLOOKUP(B306,'Tabla de proceso'!$B$5:$G$28,3,0))</f>
        <v/>
      </c>
      <c r="E306" s="13" t="str">
        <f t="shared" si="44"/>
        <v/>
      </c>
      <c r="F306" s="13" t="str">
        <f t="shared" si="45"/>
        <v/>
      </c>
      <c r="G306" s="13" t="str">
        <f t="shared" si="46"/>
        <v/>
      </c>
      <c r="H306" s="13" t="e">
        <f t="shared" si="47"/>
        <v>#VALUE!</v>
      </c>
      <c r="I306" s="47"/>
      <c r="J306" s="16">
        <f t="shared" si="48"/>
        <v>0</v>
      </c>
      <c r="K306" s="45" t="str">
        <f t="shared" si="49"/>
        <v>sábado</v>
      </c>
      <c r="L306" s="49"/>
      <c r="M306" s="50"/>
      <c r="N306" s="52">
        <f t="shared" si="50"/>
        <v>0</v>
      </c>
      <c r="O306" s="52">
        <f t="shared" si="51"/>
        <v>0</v>
      </c>
      <c r="P306" s="53">
        <f t="shared" si="52"/>
        <v>0</v>
      </c>
      <c r="Q306" s="54" t="str">
        <f t="shared" si="53"/>
        <v/>
      </c>
      <c r="R306" s="58" t="str">
        <f t="shared" si="54"/>
        <v/>
      </c>
      <c r="S306" s="51"/>
    </row>
    <row r="307" spans="1:19" s="44" customFormat="1">
      <c r="A307" s="15"/>
      <c r="B307" s="76"/>
      <c r="C307" s="18" t="str">
        <f>IF(B307="","",VLOOKUP(B307,'Tabla de proceso'!$B$6:$G$28,2,))</f>
        <v/>
      </c>
      <c r="D307" s="17" t="str">
        <f>IF(B307="","",VLOOKUP(B307,'Tabla de proceso'!$B$5:$G$28,3,0))</f>
        <v/>
      </c>
      <c r="E307" s="13" t="str">
        <f t="shared" si="44"/>
        <v/>
      </c>
      <c r="F307" s="13" t="str">
        <f t="shared" si="45"/>
        <v/>
      </c>
      <c r="G307" s="13" t="str">
        <f t="shared" si="46"/>
        <v/>
      </c>
      <c r="H307" s="13" t="e">
        <f t="shared" si="47"/>
        <v>#VALUE!</v>
      </c>
      <c r="I307" s="47"/>
      <c r="J307" s="16">
        <f t="shared" si="48"/>
        <v>0</v>
      </c>
      <c r="K307" s="45" t="str">
        <f t="shared" si="49"/>
        <v>sábado</v>
      </c>
      <c r="L307" s="49"/>
      <c r="M307" s="50"/>
      <c r="N307" s="52">
        <f t="shared" si="50"/>
        <v>0</v>
      </c>
      <c r="O307" s="52">
        <f t="shared" si="51"/>
        <v>0</v>
      </c>
      <c r="P307" s="53">
        <f t="shared" si="52"/>
        <v>0</v>
      </c>
      <c r="Q307" s="54" t="str">
        <f t="shared" si="53"/>
        <v/>
      </c>
      <c r="R307" s="58" t="str">
        <f t="shared" si="54"/>
        <v/>
      </c>
      <c r="S307" s="51"/>
    </row>
    <row r="308" spans="1:19" s="44" customFormat="1">
      <c r="A308" s="15"/>
      <c r="B308" s="76"/>
      <c r="C308" s="18" t="str">
        <f>IF(B308="","",VLOOKUP(B308,'Tabla de proceso'!$B$6:$G$28,2,))</f>
        <v/>
      </c>
      <c r="D308" s="17" t="str">
        <f>IF(B308="","",VLOOKUP(B308,'Tabla de proceso'!$B$5:$G$28,3,0))</f>
        <v/>
      </c>
      <c r="E308" s="13" t="str">
        <f t="shared" si="44"/>
        <v/>
      </c>
      <c r="F308" s="13" t="str">
        <f t="shared" si="45"/>
        <v/>
      </c>
      <c r="G308" s="13" t="str">
        <f t="shared" si="46"/>
        <v/>
      </c>
      <c r="H308" s="13" t="e">
        <f t="shared" si="47"/>
        <v>#VALUE!</v>
      </c>
      <c r="I308" s="47"/>
      <c r="J308" s="16">
        <f t="shared" si="48"/>
        <v>0</v>
      </c>
      <c r="K308" s="45" t="str">
        <f t="shared" si="49"/>
        <v>sábado</v>
      </c>
      <c r="L308" s="49"/>
      <c r="M308" s="50"/>
      <c r="N308" s="52">
        <f t="shared" si="50"/>
        <v>0</v>
      </c>
      <c r="O308" s="52">
        <f t="shared" si="51"/>
        <v>0</v>
      </c>
      <c r="P308" s="53">
        <f t="shared" si="52"/>
        <v>0</v>
      </c>
      <c r="Q308" s="54" t="str">
        <f t="shared" si="53"/>
        <v/>
      </c>
      <c r="R308" s="58" t="str">
        <f t="shared" si="54"/>
        <v/>
      </c>
      <c r="S308" s="51"/>
    </row>
    <row r="309" spans="1:19" s="44" customFormat="1">
      <c r="A309" s="15"/>
      <c r="B309" s="76"/>
      <c r="C309" s="18" t="str">
        <f>IF(B309="","",VLOOKUP(B309,'Tabla de proceso'!$B$6:$G$28,2,))</f>
        <v/>
      </c>
      <c r="D309" s="17" t="str">
        <f>IF(B309="","",VLOOKUP(B309,'Tabla de proceso'!$B$5:$G$28,3,0))</f>
        <v/>
      </c>
      <c r="E309" s="13" t="str">
        <f t="shared" si="44"/>
        <v/>
      </c>
      <c r="F309" s="13" t="str">
        <f t="shared" si="45"/>
        <v/>
      </c>
      <c r="G309" s="13" t="str">
        <f t="shared" si="46"/>
        <v/>
      </c>
      <c r="H309" s="13" t="e">
        <f t="shared" si="47"/>
        <v>#VALUE!</v>
      </c>
      <c r="I309" s="47"/>
      <c r="J309" s="16">
        <f t="shared" si="48"/>
        <v>0</v>
      </c>
      <c r="K309" s="45" t="str">
        <f t="shared" si="49"/>
        <v>sábado</v>
      </c>
      <c r="L309" s="49"/>
      <c r="M309" s="50"/>
      <c r="N309" s="52">
        <f t="shared" si="50"/>
        <v>0</v>
      </c>
      <c r="O309" s="52">
        <f t="shared" si="51"/>
        <v>0</v>
      </c>
      <c r="P309" s="53">
        <f t="shared" si="52"/>
        <v>0</v>
      </c>
      <c r="Q309" s="54" t="str">
        <f t="shared" si="53"/>
        <v/>
      </c>
      <c r="R309" s="58" t="str">
        <f t="shared" si="54"/>
        <v/>
      </c>
      <c r="S309" s="51"/>
    </row>
    <row r="310" spans="1:19" s="44" customFormat="1">
      <c r="A310" s="15"/>
      <c r="B310" s="76"/>
      <c r="C310" s="18" t="str">
        <f>IF(B310="","",VLOOKUP(B310,'Tabla de proceso'!$B$6:$G$28,2,))</f>
        <v/>
      </c>
      <c r="D310" s="17" t="str">
        <f>IF(B310="","",VLOOKUP(B310,'Tabla de proceso'!$B$5:$G$28,3,0))</f>
        <v/>
      </c>
      <c r="E310" s="13" t="str">
        <f t="shared" si="44"/>
        <v/>
      </c>
      <c r="F310" s="13" t="str">
        <f t="shared" si="45"/>
        <v/>
      </c>
      <c r="G310" s="13" t="str">
        <f t="shared" si="46"/>
        <v/>
      </c>
      <c r="H310" s="13" t="e">
        <f t="shared" si="47"/>
        <v>#VALUE!</v>
      </c>
      <c r="I310" s="47"/>
      <c r="J310" s="16">
        <f t="shared" si="48"/>
        <v>0</v>
      </c>
      <c r="K310" s="45" t="str">
        <f t="shared" si="49"/>
        <v>sábado</v>
      </c>
      <c r="L310" s="49"/>
      <c r="M310" s="50"/>
      <c r="N310" s="52">
        <f t="shared" si="50"/>
        <v>0</v>
      </c>
      <c r="O310" s="52">
        <f t="shared" si="51"/>
        <v>0</v>
      </c>
      <c r="P310" s="53">
        <f t="shared" si="52"/>
        <v>0</v>
      </c>
      <c r="Q310" s="54" t="str">
        <f t="shared" si="53"/>
        <v/>
      </c>
      <c r="R310" s="58" t="str">
        <f t="shared" si="54"/>
        <v/>
      </c>
      <c r="S310" s="51"/>
    </row>
    <row r="311" spans="1:19" s="44" customFormat="1">
      <c r="A311" s="15"/>
      <c r="B311" s="76"/>
      <c r="C311" s="18" t="str">
        <f>IF(B311="","",VLOOKUP(B311,'Tabla de proceso'!$B$6:$G$28,2,))</f>
        <v/>
      </c>
      <c r="D311" s="17" t="str">
        <f>IF(B311="","",VLOOKUP(B311,'Tabla de proceso'!$B$5:$G$28,3,0))</f>
        <v/>
      </c>
      <c r="E311" s="13" t="str">
        <f t="shared" si="44"/>
        <v/>
      </c>
      <c r="F311" s="13" t="str">
        <f t="shared" si="45"/>
        <v/>
      </c>
      <c r="G311" s="13" t="str">
        <f t="shared" si="46"/>
        <v/>
      </c>
      <c r="H311" s="13" t="e">
        <f t="shared" si="47"/>
        <v>#VALUE!</v>
      </c>
      <c r="I311" s="47"/>
      <c r="J311" s="16">
        <f t="shared" si="48"/>
        <v>0</v>
      </c>
      <c r="K311" s="45" t="str">
        <f t="shared" si="49"/>
        <v>sábado</v>
      </c>
      <c r="L311" s="49"/>
      <c r="M311" s="50"/>
      <c r="N311" s="52">
        <f t="shared" si="50"/>
        <v>0</v>
      </c>
      <c r="O311" s="52">
        <f t="shared" si="51"/>
        <v>0</v>
      </c>
      <c r="P311" s="53">
        <f t="shared" si="52"/>
        <v>0</v>
      </c>
      <c r="Q311" s="54" t="str">
        <f t="shared" si="53"/>
        <v/>
      </c>
      <c r="R311" s="58" t="str">
        <f t="shared" si="54"/>
        <v/>
      </c>
      <c r="S311" s="51"/>
    </row>
    <row r="312" spans="1:19" s="44" customFormat="1">
      <c r="A312" s="15"/>
      <c r="B312" s="76"/>
      <c r="C312" s="18" t="str">
        <f>IF(B312="","",VLOOKUP(B312,'Tabla de proceso'!$B$6:$G$28,2,))</f>
        <v/>
      </c>
      <c r="D312" s="17" t="str">
        <f>IF(B312="","",VLOOKUP(B312,'Tabla de proceso'!$B$5:$G$28,3,0))</f>
        <v/>
      </c>
      <c r="E312" s="13" t="str">
        <f t="shared" si="44"/>
        <v/>
      </c>
      <c r="F312" s="13" t="str">
        <f t="shared" si="45"/>
        <v/>
      </c>
      <c r="G312" s="13" t="str">
        <f t="shared" si="46"/>
        <v/>
      </c>
      <c r="H312" s="13" t="e">
        <f t="shared" si="47"/>
        <v>#VALUE!</v>
      </c>
      <c r="I312" s="47"/>
      <c r="J312" s="16">
        <f t="shared" si="48"/>
        <v>0</v>
      </c>
      <c r="K312" s="45" t="str">
        <f t="shared" si="49"/>
        <v>sábado</v>
      </c>
      <c r="L312" s="49"/>
      <c r="M312" s="50"/>
      <c r="N312" s="52">
        <f t="shared" si="50"/>
        <v>0</v>
      </c>
      <c r="O312" s="52">
        <f t="shared" si="51"/>
        <v>0</v>
      </c>
      <c r="P312" s="53">
        <f t="shared" si="52"/>
        <v>0</v>
      </c>
      <c r="Q312" s="54" t="str">
        <f t="shared" si="53"/>
        <v/>
      </c>
      <c r="R312" s="58" t="str">
        <f t="shared" si="54"/>
        <v/>
      </c>
      <c r="S312" s="51"/>
    </row>
    <row r="313" spans="1:19" s="44" customFormat="1">
      <c r="A313" s="15"/>
      <c r="B313" s="76"/>
      <c r="C313" s="18" t="str">
        <f>IF(B313="","",VLOOKUP(B313,'Tabla de proceso'!$B$6:$G$28,2,))</f>
        <v/>
      </c>
      <c r="D313" s="17" t="str">
        <f>IF(B313="","",VLOOKUP(B313,'Tabla de proceso'!$B$5:$G$28,3,0))</f>
        <v/>
      </c>
      <c r="E313" s="13" t="str">
        <f t="shared" si="44"/>
        <v/>
      </c>
      <c r="F313" s="13" t="str">
        <f t="shared" si="45"/>
        <v/>
      </c>
      <c r="G313" s="13" t="str">
        <f t="shared" si="46"/>
        <v/>
      </c>
      <c r="H313" s="13" t="e">
        <f t="shared" si="47"/>
        <v>#VALUE!</v>
      </c>
      <c r="I313" s="47"/>
      <c r="J313" s="16">
        <f t="shared" si="48"/>
        <v>0</v>
      </c>
      <c r="K313" s="45" t="str">
        <f t="shared" si="49"/>
        <v>sábado</v>
      </c>
      <c r="L313" s="49"/>
      <c r="M313" s="50"/>
      <c r="N313" s="52">
        <f t="shared" si="50"/>
        <v>0</v>
      </c>
      <c r="O313" s="52">
        <f t="shared" si="51"/>
        <v>0</v>
      </c>
      <c r="P313" s="53">
        <f t="shared" si="52"/>
        <v>0</v>
      </c>
      <c r="Q313" s="54" t="str">
        <f t="shared" si="53"/>
        <v/>
      </c>
      <c r="R313" s="58" t="str">
        <f t="shared" si="54"/>
        <v/>
      </c>
      <c r="S313" s="51"/>
    </row>
    <row r="314" spans="1:19" s="44" customFormat="1">
      <c r="A314" s="15"/>
      <c r="B314" s="76"/>
      <c r="C314" s="18" t="str">
        <f>IF(B314="","",VLOOKUP(B314,'Tabla de proceso'!$B$6:$G$28,2,))</f>
        <v/>
      </c>
      <c r="D314" s="17" t="str">
        <f>IF(B314="","",VLOOKUP(B314,'Tabla de proceso'!$B$5:$G$28,3,0))</f>
        <v/>
      </c>
      <c r="E314" s="13" t="str">
        <f t="shared" si="44"/>
        <v/>
      </c>
      <c r="F314" s="13" t="str">
        <f t="shared" si="45"/>
        <v/>
      </c>
      <c r="G314" s="13" t="str">
        <f t="shared" si="46"/>
        <v/>
      </c>
      <c r="H314" s="13" t="e">
        <f t="shared" si="47"/>
        <v>#VALUE!</v>
      </c>
      <c r="I314" s="47"/>
      <c r="J314" s="16">
        <f t="shared" si="48"/>
        <v>0</v>
      </c>
      <c r="K314" s="45" t="str">
        <f t="shared" si="49"/>
        <v>sábado</v>
      </c>
      <c r="L314" s="49"/>
      <c r="M314" s="50"/>
      <c r="N314" s="52">
        <f t="shared" si="50"/>
        <v>0</v>
      </c>
      <c r="O314" s="52">
        <f t="shared" si="51"/>
        <v>0</v>
      </c>
      <c r="P314" s="53">
        <f t="shared" si="52"/>
        <v>0</v>
      </c>
      <c r="Q314" s="54" t="str">
        <f t="shared" si="53"/>
        <v/>
      </c>
      <c r="R314" s="58" t="str">
        <f t="shared" si="54"/>
        <v/>
      </c>
      <c r="S314" s="51"/>
    </row>
    <row r="315" spans="1:19" s="44" customFormat="1">
      <c r="A315" s="15"/>
      <c r="B315" s="76"/>
      <c r="C315" s="18" t="str">
        <f>IF(B315="","",VLOOKUP(B315,'Tabla de proceso'!$B$6:$G$28,2,))</f>
        <v/>
      </c>
      <c r="D315" s="17" t="str">
        <f>IF(B315="","",VLOOKUP(B315,'Tabla de proceso'!$B$5:$G$28,3,0))</f>
        <v/>
      </c>
      <c r="E315" s="13" t="str">
        <f t="shared" si="44"/>
        <v/>
      </c>
      <c r="F315" s="13" t="str">
        <f t="shared" si="45"/>
        <v/>
      </c>
      <c r="G315" s="13" t="str">
        <f t="shared" si="46"/>
        <v/>
      </c>
      <c r="H315" s="13" t="e">
        <f t="shared" si="47"/>
        <v>#VALUE!</v>
      </c>
      <c r="I315" s="47"/>
      <c r="J315" s="16">
        <f t="shared" si="48"/>
        <v>0</v>
      </c>
      <c r="K315" s="45" t="str">
        <f t="shared" si="49"/>
        <v>sábado</v>
      </c>
      <c r="L315" s="49"/>
      <c r="M315" s="50"/>
      <c r="N315" s="52">
        <f t="shared" si="50"/>
        <v>0</v>
      </c>
      <c r="O315" s="52">
        <f t="shared" si="51"/>
        <v>0</v>
      </c>
      <c r="P315" s="53">
        <f t="shared" si="52"/>
        <v>0</v>
      </c>
      <c r="Q315" s="54" t="str">
        <f t="shared" si="53"/>
        <v/>
      </c>
      <c r="R315" s="58" t="str">
        <f t="shared" si="54"/>
        <v/>
      </c>
      <c r="S315" s="51"/>
    </row>
    <row r="316" spans="1:19" s="44" customFormat="1">
      <c r="A316" s="15"/>
      <c r="B316" s="76"/>
      <c r="C316" s="18" t="str">
        <f>IF(B316="","",VLOOKUP(B316,'Tabla de proceso'!$B$6:$G$28,2,))</f>
        <v/>
      </c>
      <c r="D316" s="17" t="str">
        <f>IF(B316="","",VLOOKUP(B316,'Tabla de proceso'!$B$5:$G$28,3,0))</f>
        <v/>
      </c>
      <c r="E316" s="13" t="str">
        <f t="shared" si="44"/>
        <v/>
      </c>
      <c r="F316" s="13" t="str">
        <f t="shared" si="45"/>
        <v/>
      </c>
      <c r="G316" s="13" t="str">
        <f t="shared" si="46"/>
        <v/>
      </c>
      <c r="H316" s="13" t="e">
        <f t="shared" si="47"/>
        <v>#VALUE!</v>
      </c>
      <c r="I316" s="47"/>
      <c r="J316" s="16">
        <f t="shared" si="48"/>
        <v>0</v>
      </c>
      <c r="K316" s="45" t="str">
        <f t="shared" si="49"/>
        <v>sábado</v>
      </c>
      <c r="L316" s="49"/>
      <c r="M316" s="50"/>
      <c r="N316" s="52">
        <f t="shared" si="50"/>
        <v>0</v>
      </c>
      <c r="O316" s="52">
        <f t="shared" si="51"/>
        <v>0</v>
      </c>
      <c r="P316" s="53">
        <f t="shared" si="52"/>
        <v>0</v>
      </c>
      <c r="Q316" s="54" t="str">
        <f t="shared" si="53"/>
        <v/>
      </c>
      <c r="R316" s="58" t="str">
        <f t="shared" si="54"/>
        <v/>
      </c>
      <c r="S316" s="51"/>
    </row>
    <row r="317" spans="1:19" s="44" customFormat="1">
      <c r="A317" s="15"/>
      <c r="B317" s="76"/>
      <c r="C317" s="18" t="str">
        <f>IF(B317="","",VLOOKUP(B317,'Tabla de proceso'!$B$6:$G$28,2,))</f>
        <v/>
      </c>
      <c r="D317" s="17" t="str">
        <f>IF(B317="","",VLOOKUP(B317,'Tabla de proceso'!$B$5:$G$28,3,0))</f>
        <v/>
      </c>
      <c r="E317" s="13" t="str">
        <f t="shared" si="44"/>
        <v/>
      </c>
      <c r="F317" s="13" t="str">
        <f t="shared" si="45"/>
        <v/>
      </c>
      <c r="G317" s="13" t="str">
        <f t="shared" si="46"/>
        <v/>
      </c>
      <c r="H317" s="13" t="e">
        <f t="shared" si="47"/>
        <v>#VALUE!</v>
      </c>
      <c r="I317" s="47"/>
      <c r="J317" s="16">
        <f t="shared" si="48"/>
        <v>0</v>
      </c>
      <c r="K317" s="45" t="str">
        <f t="shared" si="49"/>
        <v>sábado</v>
      </c>
      <c r="L317" s="49"/>
      <c r="M317" s="50"/>
      <c r="N317" s="52">
        <f t="shared" si="50"/>
        <v>0</v>
      </c>
      <c r="O317" s="52">
        <f t="shared" si="51"/>
        <v>0</v>
      </c>
      <c r="P317" s="53">
        <f t="shared" si="52"/>
        <v>0</v>
      </c>
      <c r="Q317" s="54" t="str">
        <f t="shared" si="53"/>
        <v/>
      </c>
      <c r="R317" s="58" t="str">
        <f t="shared" si="54"/>
        <v/>
      </c>
      <c r="S317" s="51"/>
    </row>
    <row r="318" spans="1:19" s="44" customFormat="1">
      <c r="A318" s="15"/>
      <c r="B318" s="76"/>
      <c r="C318" s="18" t="str">
        <f>IF(B318="","",VLOOKUP(B318,'Tabla de proceso'!$B$6:$G$28,2,))</f>
        <v/>
      </c>
      <c r="D318" s="17" t="str">
        <f>IF(B318="","",VLOOKUP(B318,'Tabla de proceso'!$B$5:$G$28,3,0))</f>
        <v/>
      </c>
      <c r="E318" s="13" t="str">
        <f t="shared" si="44"/>
        <v/>
      </c>
      <c r="F318" s="13" t="str">
        <f t="shared" si="45"/>
        <v/>
      </c>
      <c r="G318" s="13" t="str">
        <f t="shared" si="46"/>
        <v/>
      </c>
      <c r="H318" s="13" t="e">
        <f t="shared" si="47"/>
        <v>#VALUE!</v>
      </c>
      <c r="I318" s="47"/>
      <c r="J318" s="16">
        <f t="shared" si="48"/>
        <v>0</v>
      </c>
      <c r="K318" s="45" t="str">
        <f t="shared" si="49"/>
        <v>sábado</v>
      </c>
      <c r="L318" s="49"/>
      <c r="M318" s="50"/>
      <c r="N318" s="52">
        <f t="shared" si="50"/>
        <v>0</v>
      </c>
      <c r="O318" s="52">
        <f t="shared" si="51"/>
        <v>0</v>
      </c>
      <c r="P318" s="53">
        <f t="shared" si="52"/>
        <v>0</v>
      </c>
      <c r="Q318" s="54" t="str">
        <f t="shared" si="53"/>
        <v/>
      </c>
      <c r="R318" s="58" t="str">
        <f t="shared" si="54"/>
        <v/>
      </c>
      <c r="S318" s="51"/>
    </row>
    <row r="319" spans="1:19" s="44" customFormat="1">
      <c r="A319" s="15"/>
      <c r="B319" s="76"/>
      <c r="C319" s="18" t="str">
        <f>IF(B319="","",VLOOKUP(B319,'Tabla de proceso'!$B$6:$G$28,2,))</f>
        <v/>
      </c>
      <c r="D319" s="17" t="str">
        <f>IF(B319="","",VLOOKUP(B319,'Tabla de proceso'!$B$5:$G$28,3,0))</f>
        <v/>
      </c>
      <c r="E319" s="13" t="str">
        <f t="shared" si="44"/>
        <v/>
      </c>
      <c r="F319" s="13" t="str">
        <f t="shared" si="45"/>
        <v/>
      </c>
      <c r="G319" s="13" t="str">
        <f t="shared" si="46"/>
        <v/>
      </c>
      <c r="H319" s="13" t="e">
        <f t="shared" si="47"/>
        <v>#VALUE!</v>
      </c>
      <c r="I319" s="47"/>
      <c r="J319" s="16">
        <f t="shared" si="48"/>
        <v>0</v>
      </c>
      <c r="K319" s="45" t="str">
        <f t="shared" si="49"/>
        <v>sábado</v>
      </c>
      <c r="L319" s="49"/>
      <c r="M319" s="50"/>
      <c r="N319" s="52">
        <f t="shared" si="50"/>
        <v>0</v>
      </c>
      <c r="O319" s="52">
        <f t="shared" si="51"/>
        <v>0</v>
      </c>
      <c r="P319" s="53">
        <f t="shared" si="52"/>
        <v>0</v>
      </c>
      <c r="Q319" s="54" t="str">
        <f t="shared" si="53"/>
        <v/>
      </c>
      <c r="R319" s="58" t="str">
        <f t="shared" si="54"/>
        <v/>
      </c>
      <c r="S319" s="51"/>
    </row>
    <row r="320" spans="1:19" s="44" customFormat="1">
      <c r="A320" s="15"/>
      <c r="B320" s="77"/>
      <c r="C320" s="18" t="str">
        <f>IF(B320="","",VLOOKUP(B320,'Tabla de proceso'!$B$6:$G$28,2,))</f>
        <v/>
      </c>
      <c r="D320" s="17" t="str">
        <f>IF(B320="","",VLOOKUP(B320,'Tabla de proceso'!$B$5:$G$28,3,0))</f>
        <v/>
      </c>
      <c r="E320" s="13" t="str">
        <f t="shared" si="44"/>
        <v/>
      </c>
      <c r="F320" s="13" t="str">
        <f t="shared" si="45"/>
        <v/>
      </c>
      <c r="G320" s="13" t="str">
        <f t="shared" si="46"/>
        <v/>
      </c>
      <c r="H320" s="13" t="e">
        <f t="shared" si="47"/>
        <v>#VALUE!</v>
      </c>
      <c r="I320" s="47"/>
      <c r="J320" s="16">
        <f t="shared" si="48"/>
        <v>0</v>
      </c>
      <c r="K320" s="45" t="str">
        <f t="shared" si="49"/>
        <v>sábado</v>
      </c>
      <c r="L320" s="49"/>
      <c r="M320" s="50"/>
      <c r="N320" s="52">
        <f t="shared" si="50"/>
        <v>0</v>
      </c>
      <c r="O320" s="52">
        <f t="shared" si="51"/>
        <v>0</v>
      </c>
      <c r="P320" s="53">
        <f t="shared" si="52"/>
        <v>0</v>
      </c>
      <c r="Q320" s="54" t="str">
        <f t="shared" si="53"/>
        <v/>
      </c>
      <c r="R320" s="58" t="str">
        <f t="shared" si="54"/>
        <v/>
      </c>
      <c r="S320" s="51"/>
    </row>
    <row r="321" spans="1:19" s="44" customFormat="1">
      <c r="A321" s="15"/>
      <c r="B321" s="76"/>
      <c r="C321" s="18" t="str">
        <f>IF(B321="","",VLOOKUP(B321,'Tabla de proceso'!$B$6:$G$28,2,))</f>
        <v/>
      </c>
      <c r="D321" s="17" t="str">
        <f>IF(B321="","",VLOOKUP(B321,'Tabla de proceso'!$B$5:$G$28,3,0))</f>
        <v/>
      </c>
      <c r="E321" s="13" t="str">
        <f t="shared" si="44"/>
        <v/>
      </c>
      <c r="F321" s="13" t="str">
        <f t="shared" si="45"/>
        <v/>
      </c>
      <c r="G321" s="13" t="str">
        <f t="shared" si="46"/>
        <v/>
      </c>
      <c r="H321" s="13" t="e">
        <f t="shared" si="47"/>
        <v>#VALUE!</v>
      </c>
      <c r="I321" s="47"/>
      <c r="J321" s="16">
        <f t="shared" si="48"/>
        <v>0</v>
      </c>
      <c r="K321" s="45" t="str">
        <f t="shared" si="49"/>
        <v>sábado</v>
      </c>
      <c r="L321" s="49"/>
      <c r="M321" s="50"/>
      <c r="N321" s="52">
        <f t="shared" si="50"/>
        <v>0</v>
      </c>
      <c r="O321" s="52">
        <f t="shared" si="51"/>
        <v>0</v>
      </c>
      <c r="P321" s="53">
        <f t="shared" si="52"/>
        <v>0</v>
      </c>
      <c r="Q321" s="54" t="str">
        <f t="shared" si="53"/>
        <v/>
      </c>
      <c r="R321" s="58" t="str">
        <f t="shared" si="54"/>
        <v/>
      </c>
      <c r="S321" s="51"/>
    </row>
    <row r="322" spans="1:19" s="44" customFormat="1">
      <c r="A322" s="15"/>
      <c r="B322" s="76"/>
      <c r="C322" s="18" t="str">
        <f>IF(B322="","",VLOOKUP(B322,'Tabla de proceso'!$B$6:$G$28,2,))</f>
        <v/>
      </c>
      <c r="D322" s="17" t="str">
        <f>IF(B322="","",VLOOKUP(B322,'Tabla de proceso'!$B$5:$G$28,3,0))</f>
        <v/>
      </c>
      <c r="E322" s="13" t="str">
        <f t="shared" si="44"/>
        <v/>
      </c>
      <c r="F322" s="13" t="str">
        <f t="shared" si="45"/>
        <v/>
      </c>
      <c r="G322" s="13" t="str">
        <f t="shared" si="46"/>
        <v/>
      </c>
      <c r="H322" s="13" t="e">
        <f t="shared" si="47"/>
        <v>#VALUE!</v>
      </c>
      <c r="I322" s="47"/>
      <c r="J322" s="16">
        <f t="shared" si="48"/>
        <v>0</v>
      </c>
      <c r="K322" s="45" t="str">
        <f t="shared" si="49"/>
        <v>sábado</v>
      </c>
      <c r="L322" s="49"/>
      <c r="M322" s="50"/>
      <c r="N322" s="52">
        <f t="shared" si="50"/>
        <v>0</v>
      </c>
      <c r="O322" s="52">
        <f t="shared" si="51"/>
        <v>0</v>
      </c>
      <c r="P322" s="53">
        <f t="shared" si="52"/>
        <v>0</v>
      </c>
      <c r="Q322" s="54" t="str">
        <f t="shared" si="53"/>
        <v/>
      </c>
      <c r="R322" s="58" t="str">
        <f t="shared" si="54"/>
        <v/>
      </c>
      <c r="S322" s="51"/>
    </row>
    <row r="323" spans="1:19" s="44" customFormat="1">
      <c r="A323" s="15"/>
      <c r="B323" s="76"/>
      <c r="C323" s="18" t="str">
        <f>IF(B323="","",VLOOKUP(B323,'Tabla de proceso'!$B$6:$G$28,2,))</f>
        <v/>
      </c>
      <c r="D323" s="17" t="str">
        <f>IF(B323="","",VLOOKUP(B323,'Tabla de proceso'!$B$5:$G$28,3,0))</f>
        <v/>
      </c>
      <c r="E323" s="13" t="str">
        <f t="shared" si="44"/>
        <v/>
      </c>
      <c r="F323" s="13" t="str">
        <f t="shared" si="45"/>
        <v/>
      </c>
      <c r="G323" s="13" t="str">
        <f t="shared" si="46"/>
        <v/>
      </c>
      <c r="H323" s="13" t="e">
        <f t="shared" si="47"/>
        <v>#VALUE!</v>
      </c>
      <c r="I323" s="47"/>
      <c r="J323" s="16">
        <f t="shared" si="48"/>
        <v>0</v>
      </c>
      <c r="K323" s="45" t="str">
        <f t="shared" si="49"/>
        <v>sábado</v>
      </c>
      <c r="L323" s="49"/>
      <c r="M323" s="50"/>
      <c r="N323" s="52">
        <f t="shared" si="50"/>
        <v>0</v>
      </c>
      <c r="O323" s="52">
        <f t="shared" si="51"/>
        <v>0</v>
      </c>
      <c r="P323" s="53">
        <f t="shared" si="52"/>
        <v>0</v>
      </c>
      <c r="Q323" s="54" t="str">
        <f t="shared" si="53"/>
        <v/>
      </c>
      <c r="R323" s="58" t="str">
        <f t="shared" si="54"/>
        <v/>
      </c>
      <c r="S323" s="51"/>
    </row>
    <row r="324" spans="1:19" s="44" customFormat="1">
      <c r="A324" s="15"/>
      <c r="B324" s="75"/>
      <c r="C324" s="18" t="str">
        <f>IF(B324="","",VLOOKUP(B324,'Tabla de proceso'!$B$6:$G$28,2,))</f>
        <v/>
      </c>
      <c r="D324" s="17" t="str">
        <f>IF(B324="","",VLOOKUP(B324,'Tabla de proceso'!$B$5:$G$28,3,0))</f>
        <v/>
      </c>
      <c r="E324" s="13" t="str">
        <f t="shared" si="44"/>
        <v/>
      </c>
      <c r="F324" s="13" t="str">
        <f t="shared" si="45"/>
        <v/>
      </c>
      <c r="G324" s="13" t="str">
        <f t="shared" si="46"/>
        <v/>
      </c>
      <c r="H324" s="13" t="e">
        <f t="shared" si="47"/>
        <v>#VALUE!</v>
      </c>
      <c r="I324" s="47"/>
      <c r="J324" s="16">
        <f t="shared" si="48"/>
        <v>0</v>
      </c>
      <c r="K324" s="45" t="str">
        <f t="shared" si="49"/>
        <v>sábado</v>
      </c>
      <c r="L324" s="49"/>
      <c r="M324" s="50"/>
      <c r="N324" s="52">
        <f t="shared" si="50"/>
        <v>0</v>
      </c>
      <c r="O324" s="52">
        <f t="shared" si="51"/>
        <v>0</v>
      </c>
      <c r="P324" s="53">
        <f t="shared" si="52"/>
        <v>0</v>
      </c>
      <c r="Q324" s="54" t="str">
        <f t="shared" si="53"/>
        <v/>
      </c>
      <c r="R324" s="58" t="str">
        <f t="shared" si="54"/>
        <v/>
      </c>
      <c r="S324" s="51"/>
    </row>
    <row r="325" spans="1:19" s="44" customFormat="1">
      <c r="A325" s="15"/>
      <c r="B325" s="75"/>
      <c r="C325" s="18" t="str">
        <f>IF(B325="","",VLOOKUP(B325,'Tabla de proceso'!$B$6:$G$28,2,))</f>
        <v/>
      </c>
      <c r="D325" s="17" t="str">
        <f>IF(B325="","",VLOOKUP(B325,'Tabla de proceso'!$B$5:$G$28,3,0))</f>
        <v/>
      </c>
      <c r="E325" s="13" t="str">
        <f t="shared" si="44"/>
        <v/>
      </c>
      <c r="F325" s="13" t="str">
        <f t="shared" si="45"/>
        <v/>
      </c>
      <c r="G325" s="13" t="str">
        <f t="shared" si="46"/>
        <v/>
      </c>
      <c r="H325" s="13" t="e">
        <f t="shared" si="47"/>
        <v>#VALUE!</v>
      </c>
      <c r="I325" s="47"/>
      <c r="J325" s="16">
        <f t="shared" si="48"/>
        <v>0</v>
      </c>
      <c r="K325" s="45" t="str">
        <f t="shared" si="49"/>
        <v>sábado</v>
      </c>
      <c r="L325" s="49"/>
      <c r="M325" s="50"/>
      <c r="N325" s="52">
        <f t="shared" si="50"/>
        <v>0</v>
      </c>
      <c r="O325" s="52">
        <f t="shared" si="51"/>
        <v>0</v>
      </c>
      <c r="P325" s="53">
        <f t="shared" si="52"/>
        <v>0</v>
      </c>
      <c r="Q325" s="54" t="str">
        <f t="shared" si="53"/>
        <v/>
      </c>
      <c r="R325" s="58" t="str">
        <f t="shared" si="54"/>
        <v/>
      </c>
      <c r="S325" s="51"/>
    </row>
    <row r="326" spans="1:19" s="44" customFormat="1">
      <c r="A326" s="15"/>
      <c r="B326" s="75"/>
      <c r="C326" s="18" t="str">
        <f>IF(B326="","",VLOOKUP(B326,'Tabla de proceso'!$B$6:$G$28,2,))</f>
        <v/>
      </c>
      <c r="D326" s="17" t="str">
        <f>IF(B326="","",VLOOKUP(B326,'Tabla de proceso'!$B$5:$G$28,3,0))</f>
        <v/>
      </c>
      <c r="E326" s="13" t="str">
        <f t="shared" ref="E326:E389" si="55">D326</f>
        <v/>
      </c>
      <c r="F326" s="13" t="str">
        <f t="shared" ref="F326:F389" si="56">IF(E326="","",+$E326/9)</f>
        <v/>
      </c>
      <c r="G326" s="13" t="str">
        <f t="shared" ref="G326:G372" si="57">IF(E326="","",($E326/60)/9)</f>
        <v/>
      </c>
      <c r="H326" s="13" t="e">
        <f t="shared" ref="H326:H372" si="58">+$E326*5</f>
        <v>#VALUE!</v>
      </c>
      <c r="I326" s="47"/>
      <c r="J326" s="16">
        <f t="shared" ref="J326:J389" si="59">+WEEKNUM(I326)</f>
        <v>0</v>
      </c>
      <c r="K326" s="45" t="str">
        <f t="shared" ref="K326:K389" si="60">+TEXT($I326,"dddd")</f>
        <v>sábado</v>
      </c>
      <c r="L326" s="49"/>
      <c r="M326" s="50"/>
      <c r="N326" s="52">
        <f t="shared" ref="N326:N389" si="61">+HOUR($M326)</f>
        <v>0</v>
      </c>
      <c r="O326" s="52">
        <f t="shared" ref="O326:O389" si="62">+MINUTE($M326)</f>
        <v>0</v>
      </c>
      <c r="P326" s="53">
        <f t="shared" ref="P326:P389" si="63">+($N326*60)+$O326</f>
        <v>0</v>
      </c>
      <c r="Q326" s="54" t="str">
        <f t="shared" ref="Q326:Q389" si="64">IF(G326="","",+$G326*$P326)</f>
        <v/>
      </c>
      <c r="R326" s="58" t="str">
        <f t="shared" ref="R326:R389" si="65">IF($Q326="","",$L326/$Q326)</f>
        <v/>
      </c>
      <c r="S326" s="51"/>
    </row>
    <row r="327" spans="1:19" s="44" customFormat="1">
      <c r="A327" s="15"/>
      <c r="B327" s="75"/>
      <c r="C327" s="18" t="str">
        <f>IF(B327="","",VLOOKUP(B327,'Tabla de proceso'!$B$6:$G$28,2,))</f>
        <v/>
      </c>
      <c r="D327" s="17" t="str">
        <f>IF(B327="","",VLOOKUP(B327,'Tabla de proceso'!$B$5:$G$28,3,0))</f>
        <v/>
      </c>
      <c r="E327" s="13" t="str">
        <f t="shared" si="55"/>
        <v/>
      </c>
      <c r="F327" s="13" t="str">
        <f t="shared" si="56"/>
        <v/>
      </c>
      <c r="G327" s="13" t="str">
        <f t="shared" si="57"/>
        <v/>
      </c>
      <c r="H327" s="13" t="e">
        <f t="shared" si="58"/>
        <v>#VALUE!</v>
      </c>
      <c r="I327" s="47"/>
      <c r="J327" s="16">
        <f t="shared" si="59"/>
        <v>0</v>
      </c>
      <c r="K327" s="45" t="str">
        <f t="shared" si="60"/>
        <v>sábado</v>
      </c>
      <c r="L327" s="49"/>
      <c r="M327" s="50"/>
      <c r="N327" s="52">
        <f t="shared" si="61"/>
        <v>0</v>
      </c>
      <c r="O327" s="52">
        <f t="shared" si="62"/>
        <v>0</v>
      </c>
      <c r="P327" s="53">
        <f t="shared" si="63"/>
        <v>0</v>
      </c>
      <c r="Q327" s="54" t="str">
        <f t="shared" si="64"/>
        <v/>
      </c>
      <c r="R327" s="58" t="str">
        <f t="shared" si="65"/>
        <v/>
      </c>
      <c r="S327" s="51"/>
    </row>
    <row r="328" spans="1:19" s="44" customFormat="1">
      <c r="A328" s="15"/>
      <c r="B328" s="75"/>
      <c r="C328" s="18" t="str">
        <f>IF(B328="","",VLOOKUP(B328,'Tabla de proceso'!$B$6:$G$28,2,))</f>
        <v/>
      </c>
      <c r="D328" s="17" t="str">
        <f>IF(B328="","",VLOOKUP(B328,'Tabla de proceso'!$B$5:$G$28,3,0))</f>
        <v/>
      </c>
      <c r="E328" s="13" t="str">
        <f t="shared" si="55"/>
        <v/>
      </c>
      <c r="F328" s="13" t="str">
        <f t="shared" si="56"/>
        <v/>
      </c>
      <c r="G328" s="13" t="str">
        <f t="shared" si="57"/>
        <v/>
      </c>
      <c r="H328" s="13" t="e">
        <f t="shared" si="58"/>
        <v>#VALUE!</v>
      </c>
      <c r="I328" s="47"/>
      <c r="J328" s="16">
        <f t="shared" si="59"/>
        <v>0</v>
      </c>
      <c r="K328" s="45" t="str">
        <f t="shared" si="60"/>
        <v>sábado</v>
      </c>
      <c r="L328" s="49"/>
      <c r="M328" s="50"/>
      <c r="N328" s="52">
        <f t="shared" si="61"/>
        <v>0</v>
      </c>
      <c r="O328" s="52">
        <f t="shared" si="62"/>
        <v>0</v>
      </c>
      <c r="P328" s="53">
        <f t="shared" si="63"/>
        <v>0</v>
      </c>
      <c r="Q328" s="54" t="str">
        <f t="shared" si="64"/>
        <v/>
      </c>
      <c r="R328" s="58" t="str">
        <f t="shared" si="65"/>
        <v/>
      </c>
      <c r="S328" s="51"/>
    </row>
    <row r="329" spans="1:19" s="44" customFormat="1">
      <c r="A329" s="15"/>
      <c r="B329" s="75"/>
      <c r="C329" s="18" t="str">
        <f>IF(B329="","",VLOOKUP(B329,'Tabla de proceso'!$B$6:$G$28,2,))</f>
        <v/>
      </c>
      <c r="D329" s="17" t="str">
        <f>IF(B329="","",VLOOKUP(B329,'Tabla de proceso'!$B$5:$G$28,3,0))</f>
        <v/>
      </c>
      <c r="E329" s="13" t="str">
        <f t="shared" si="55"/>
        <v/>
      </c>
      <c r="F329" s="13" t="str">
        <f t="shared" si="56"/>
        <v/>
      </c>
      <c r="G329" s="13" t="str">
        <f t="shared" si="57"/>
        <v/>
      </c>
      <c r="H329" s="13" t="e">
        <f t="shared" si="58"/>
        <v>#VALUE!</v>
      </c>
      <c r="I329" s="47"/>
      <c r="J329" s="16">
        <f t="shared" si="59"/>
        <v>0</v>
      </c>
      <c r="K329" s="45" t="str">
        <f t="shared" si="60"/>
        <v>sábado</v>
      </c>
      <c r="L329" s="49"/>
      <c r="M329" s="50"/>
      <c r="N329" s="52">
        <f t="shared" si="61"/>
        <v>0</v>
      </c>
      <c r="O329" s="52">
        <f t="shared" si="62"/>
        <v>0</v>
      </c>
      <c r="P329" s="53">
        <f t="shared" si="63"/>
        <v>0</v>
      </c>
      <c r="Q329" s="54" t="str">
        <f t="shared" si="64"/>
        <v/>
      </c>
      <c r="R329" s="58" t="str">
        <f t="shared" si="65"/>
        <v/>
      </c>
      <c r="S329" s="51"/>
    </row>
    <row r="330" spans="1:19" s="44" customFormat="1">
      <c r="A330" s="15"/>
      <c r="B330" s="75"/>
      <c r="C330" s="18" t="str">
        <f>IF(B330="","",VLOOKUP(B330,'Tabla de proceso'!$B$6:$G$28,2,))</f>
        <v/>
      </c>
      <c r="D330" s="17" t="str">
        <f>IF(B330="","",VLOOKUP(B330,'Tabla de proceso'!$B$5:$G$28,3,0))</f>
        <v/>
      </c>
      <c r="E330" s="13" t="str">
        <f t="shared" si="55"/>
        <v/>
      </c>
      <c r="F330" s="13" t="str">
        <f t="shared" si="56"/>
        <v/>
      </c>
      <c r="G330" s="13" t="str">
        <f t="shared" si="57"/>
        <v/>
      </c>
      <c r="H330" s="13" t="e">
        <f t="shared" si="58"/>
        <v>#VALUE!</v>
      </c>
      <c r="I330" s="47"/>
      <c r="J330" s="16">
        <f t="shared" si="59"/>
        <v>0</v>
      </c>
      <c r="K330" s="45" t="str">
        <f t="shared" si="60"/>
        <v>sábado</v>
      </c>
      <c r="L330" s="49"/>
      <c r="M330" s="50"/>
      <c r="N330" s="52">
        <f t="shared" si="61"/>
        <v>0</v>
      </c>
      <c r="O330" s="52">
        <f t="shared" si="62"/>
        <v>0</v>
      </c>
      <c r="P330" s="53">
        <f t="shared" si="63"/>
        <v>0</v>
      </c>
      <c r="Q330" s="54" t="str">
        <f t="shared" si="64"/>
        <v/>
      </c>
      <c r="R330" s="58" t="str">
        <f t="shared" si="65"/>
        <v/>
      </c>
      <c r="S330" s="51"/>
    </row>
    <row r="331" spans="1:19" s="44" customFormat="1">
      <c r="A331" s="15"/>
      <c r="B331" s="75"/>
      <c r="C331" s="18" t="str">
        <f>IF(B331="","",VLOOKUP(B331,'Tabla de proceso'!$B$6:$G$28,2,))</f>
        <v/>
      </c>
      <c r="D331" s="17" t="str">
        <f>IF(B331="","",VLOOKUP(B331,'Tabla de proceso'!$B$5:$G$28,3,0))</f>
        <v/>
      </c>
      <c r="E331" s="13" t="str">
        <f t="shared" si="55"/>
        <v/>
      </c>
      <c r="F331" s="13" t="str">
        <f t="shared" si="56"/>
        <v/>
      </c>
      <c r="G331" s="13" t="str">
        <f t="shared" si="57"/>
        <v/>
      </c>
      <c r="H331" s="13" t="e">
        <f t="shared" si="58"/>
        <v>#VALUE!</v>
      </c>
      <c r="I331" s="47"/>
      <c r="J331" s="16">
        <f t="shared" si="59"/>
        <v>0</v>
      </c>
      <c r="K331" s="45" t="str">
        <f t="shared" si="60"/>
        <v>sábado</v>
      </c>
      <c r="L331" s="49"/>
      <c r="M331" s="50"/>
      <c r="N331" s="52">
        <f t="shared" si="61"/>
        <v>0</v>
      </c>
      <c r="O331" s="52">
        <f t="shared" si="62"/>
        <v>0</v>
      </c>
      <c r="P331" s="53">
        <f t="shared" si="63"/>
        <v>0</v>
      </c>
      <c r="Q331" s="54" t="str">
        <f t="shared" si="64"/>
        <v/>
      </c>
      <c r="R331" s="58" t="str">
        <f t="shared" si="65"/>
        <v/>
      </c>
      <c r="S331" s="51"/>
    </row>
    <row r="332" spans="1:19" s="44" customFormat="1">
      <c r="A332" s="15"/>
      <c r="B332" s="75"/>
      <c r="C332" s="18" t="str">
        <f>IF(B332="","",VLOOKUP(B332,'Tabla de proceso'!$B$6:$G$28,2,))</f>
        <v/>
      </c>
      <c r="D332" s="17" t="str">
        <f>IF(B332="","",VLOOKUP(B332,'Tabla de proceso'!$B$5:$G$28,3,0))</f>
        <v/>
      </c>
      <c r="E332" s="13" t="str">
        <f t="shared" si="55"/>
        <v/>
      </c>
      <c r="F332" s="13" t="str">
        <f t="shared" si="56"/>
        <v/>
      </c>
      <c r="G332" s="13" t="str">
        <f t="shared" si="57"/>
        <v/>
      </c>
      <c r="H332" s="13" t="e">
        <f t="shared" si="58"/>
        <v>#VALUE!</v>
      </c>
      <c r="I332" s="47"/>
      <c r="J332" s="16">
        <f t="shared" si="59"/>
        <v>0</v>
      </c>
      <c r="K332" s="45" t="str">
        <f t="shared" si="60"/>
        <v>sábado</v>
      </c>
      <c r="L332" s="49"/>
      <c r="M332" s="50"/>
      <c r="N332" s="52">
        <f t="shared" si="61"/>
        <v>0</v>
      </c>
      <c r="O332" s="52">
        <f t="shared" si="62"/>
        <v>0</v>
      </c>
      <c r="P332" s="53">
        <f t="shared" si="63"/>
        <v>0</v>
      </c>
      <c r="Q332" s="54" t="str">
        <f t="shared" si="64"/>
        <v/>
      </c>
      <c r="R332" s="58" t="str">
        <f t="shared" si="65"/>
        <v/>
      </c>
      <c r="S332" s="51"/>
    </row>
    <row r="333" spans="1:19" s="44" customFormat="1">
      <c r="A333" s="15"/>
      <c r="B333" s="75"/>
      <c r="C333" s="18" t="str">
        <f>IF(B333="","",VLOOKUP(B333,'Tabla de proceso'!$B$6:$G$28,2,))</f>
        <v/>
      </c>
      <c r="D333" s="17" t="str">
        <f>IF(B333="","",VLOOKUP(B333,'Tabla de proceso'!$B$5:$G$28,3,0))</f>
        <v/>
      </c>
      <c r="E333" s="13" t="str">
        <f t="shared" si="55"/>
        <v/>
      </c>
      <c r="F333" s="13" t="str">
        <f t="shared" si="56"/>
        <v/>
      </c>
      <c r="G333" s="13" t="str">
        <f t="shared" si="57"/>
        <v/>
      </c>
      <c r="H333" s="13" t="e">
        <f t="shared" si="58"/>
        <v>#VALUE!</v>
      </c>
      <c r="I333" s="47"/>
      <c r="J333" s="16">
        <f t="shared" si="59"/>
        <v>0</v>
      </c>
      <c r="K333" s="45" t="str">
        <f t="shared" si="60"/>
        <v>sábado</v>
      </c>
      <c r="L333" s="49"/>
      <c r="M333" s="50"/>
      <c r="N333" s="52">
        <f t="shared" si="61"/>
        <v>0</v>
      </c>
      <c r="O333" s="52">
        <f t="shared" si="62"/>
        <v>0</v>
      </c>
      <c r="P333" s="53">
        <f t="shared" si="63"/>
        <v>0</v>
      </c>
      <c r="Q333" s="54" t="str">
        <f t="shared" si="64"/>
        <v/>
      </c>
      <c r="R333" s="58" t="str">
        <f t="shared" si="65"/>
        <v/>
      </c>
      <c r="S333" s="51"/>
    </row>
    <row r="334" spans="1:19" s="44" customFormat="1">
      <c r="A334" s="15"/>
      <c r="B334" s="75"/>
      <c r="C334" s="18" t="str">
        <f>IF(B334="","",VLOOKUP(B334,'Tabla de proceso'!$B$6:$G$28,2,))</f>
        <v/>
      </c>
      <c r="D334" s="17" t="str">
        <f>IF(B334="","",VLOOKUP(B334,'Tabla de proceso'!$B$5:$G$28,3,0))</f>
        <v/>
      </c>
      <c r="E334" s="13" t="str">
        <f t="shared" si="55"/>
        <v/>
      </c>
      <c r="F334" s="13" t="str">
        <f t="shared" si="56"/>
        <v/>
      </c>
      <c r="G334" s="13" t="str">
        <f t="shared" si="57"/>
        <v/>
      </c>
      <c r="H334" s="13" t="e">
        <f t="shared" si="58"/>
        <v>#VALUE!</v>
      </c>
      <c r="I334" s="47"/>
      <c r="J334" s="16">
        <f t="shared" si="59"/>
        <v>0</v>
      </c>
      <c r="K334" s="45" t="str">
        <f t="shared" si="60"/>
        <v>sábado</v>
      </c>
      <c r="L334" s="49"/>
      <c r="M334" s="50"/>
      <c r="N334" s="52">
        <f t="shared" si="61"/>
        <v>0</v>
      </c>
      <c r="O334" s="52">
        <f t="shared" si="62"/>
        <v>0</v>
      </c>
      <c r="P334" s="53">
        <f t="shared" si="63"/>
        <v>0</v>
      </c>
      <c r="Q334" s="54" t="str">
        <f t="shared" si="64"/>
        <v/>
      </c>
      <c r="R334" s="58" t="str">
        <f t="shared" si="65"/>
        <v/>
      </c>
      <c r="S334" s="51"/>
    </row>
    <row r="335" spans="1:19" s="44" customFormat="1">
      <c r="A335" s="15"/>
      <c r="B335" s="75"/>
      <c r="C335" s="18" t="str">
        <f>IF(B335="","",VLOOKUP(B335,'Tabla de proceso'!$B$6:$G$28,2,))</f>
        <v/>
      </c>
      <c r="D335" s="17" t="str">
        <f>IF(B335="","",VLOOKUP(B335,'Tabla de proceso'!$B$5:$G$28,3,0))</f>
        <v/>
      </c>
      <c r="E335" s="13" t="str">
        <f t="shared" si="55"/>
        <v/>
      </c>
      <c r="F335" s="13" t="str">
        <f t="shared" si="56"/>
        <v/>
      </c>
      <c r="G335" s="13" t="str">
        <f t="shared" si="57"/>
        <v/>
      </c>
      <c r="H335" s="13" t="e">
        <f t="shared" si="58"/>
        <v>#VALUE!</v>
      </c>
      <c r="I335" s="47"/>
      <c r="J335" s="16">
        <f t="shared" si="59"/>
        <v>0</v>
      </c>
      <c r="K335" s="45" t="str">
        <f t="shared" si="60"/>
        <v>sábado</v>
      </c>
      <c r="L335" s="49"/>
      <c r="M335" s="50"/>
      <c r="N335" s="52">
        <f t="shared" si="61"/>
        <v>0</v>
      </c>
      <c r="O335" s="52">
        <f t="shared" si="62"/>
        <v>0</v>
      </c>
      <c r="P335" s="53">
        <f t="shared" si="63"/>
        <v>0</v>
      </c>
      <c r="Q335" s="54" t="str">
        <f t="shared" si="64"/>
        <v/>
      </c>
      <c r="R335" s="58" t="str">
        <f t="shared" si="65"/>
        <v/>
      </c>
      <c r="S335" s="51"/>
    </row>
    <row r="336" spans="1:19" s="44" customFormat="1">
      <c r="A336" s="15"/>
      <c r="B336" s="75"/>
      <c r="C336" s="18" t="str">
        <f>IF(B336="","",VLOOKUP(B336,'Tabla de proceso'!$B$6:$G$28,2,))</f>
        <v/>
      </c>
      <c r="D336" s="17" t="str">
        <f>IF(B336="","",VLOOKUP(B336,'Tabla de proceso'!$B$5:$G$28,3,0))</f>
        <v/>
      </c>
      <c r="E336" s="13" t="str">
        <f t="shared" si="55"/>
        <v/>
      </c>
      <c r="F336" s="13" t="str">
        <f t="shared" si="56"/>
        <v/>
      </c>
      <c r="G336" s="13" t="str">
        <f t="shared" si="57"/>
        <v/>
      </c>
      <c r="H336" s="13" t="e">
        <f t="shared" si="58"/>
        <v>#VALUE!</v>
      </c>
      <c r="I336" s="47"/>
      <c r="J336" s="16">
        <f t="shared" si="59"/>
        <v>0</v>
      </c>
      <c r="K336" s="45" t="str">
        <f t="shared" si="60"/>
        <v>sábado</v>
      </c>
      <c r="L336" s="49"/>
      <c r="M336" s="50"/>
      <c r="N336" s="52">
        <f t="shared" si="61"/>
        <v>0</v>
      </c>
      <c r="O336" s="52">
        <f t="shared" si="62"/>
        <v>0</v>
      </c>
      <c r="P336" s="53">
        <f t="shared" si="63"/>
        <v>0</v>
      </c>
      <c r="Q336" s="54" t="str">
        <f t="shared" si="64"/>
        <v/>
      </c>
      <c r="R336" s="58" t="str">
        <f t="shared" si="65"/>
        <v/>
      </c>
      <c r="S336" s="51"/>
    </row>
    <row r="337" spans="1:19" s="44" customFormat="1">
      <c r="A337" s="15"/>
      <c r="B337" s="75"/>
      <c r="C337" s="18" t="str">
        <f>IF(B337="","",VLOOKUP(B337,'Tabla de proceso'!$B$6:$G$28,2,))</f>
        <v/>
      </c>
      <c r="D337" s="17" t="str">
        <f>IF(B337="","",VLOOKUP(B337,'Tabla de proceso'!$B$5:$G$28,3,0))</f>
        <v/>
      </c>
      <c r="E337" s="13" t="str">
        <f t="shared" si="55"/>
        <v/>
      </c>
      <c r="F337" s="13" t="str">
        <f t="shared" si="56"/>
        <v/>
      </c>
      <c r="G337" s="13" t="str">
        <f t="shared" si="57"/>
        <v/>
      </c>
      <c r="H337" s="13" t="e">
        <f t="shared" si="58"/>
        <v>#VALUE!</v>
      </c>
      <c r="I337" s="47"/>
      <c r="J337" s="16">
        <f t="shared" si="59"/>
        <v>0</v>
      </c>
      <c r="K337" s="45" t="str">
        <f t="shared" si="60"/>
        <v>sábado</v>
      </c>
      <c r="L337" s="49"/>
      <c r="M337" s="50"/>
      <c r="N337" s="52">
        <f t="shared" si="61"/>
        <v>0</v>
      </c>
      <c r="O337" s="52">
        <f t="shared" si="62"/>
        <v>0</v>
      </c>
      <c r="P337" s="53">
        <f t="shared" si="63"/>
        <v>0</v>
      </c>
      <c r="Q337" s="54" t="str">
        <f t="shared" si="64"/>
        <v/>
      </c>
      <c r="R337" s="58" t="str">
        <f t="shared" si="65"/>
        <v/>
      </c>
      <c r="S337" s="51"/>
    </row>
    <row r="338" spans="1:19" s="44" customFormat="1">
      <c r="A338" s="15"/>
      <c r="B338" s="75"/>
      <c r="C338" s="18" t="str">
        <f>IF(B338="","",VLOOKUP(B338,'Tabla de proceso'!$B$6:$G$28,2,))</f>
        <v/>
      </c>
      <c r="D338" s="17" t="str">
        <f>IF(B338="","",VLOOKUP(B338,'Tabla de proceso'!$B$5:$G$28,3,0))</f>
        <v/>
      </c>
      <c r="E338" s="13" t="str">
        <f t="shared" si="55"/>
        <v/>
      </c>
      <c r="F338" s="13" t="str">
        <f t="shared" si="56"/>
        <v/>
      </c>
      <c r="G338" s="13" t="str">
        <f t="shared" si="57"/>
        <v/>
      </c>
      <c r="H338" s="13" t="e">
        <f t="shared" si="58"/>
        <v>#VALUE!</v>
      </c>
      <c r="I338" s="47"/>
      <c r="J338" s="16">
        <f t="shared" si="59"/>
        <v>0</v>
      </c>
      <c r="K338" s="45" t="str">
        <f t="shared" si="60"/>
        <v>sábado</v>
      </c>
      <c r="L338" s="49"/>
      <c r="M338" s="50"/>
      <c r="N338" s="52">
        <f t="shared" si="61"/>
        <v>0</v>
      </c>
      <c r="O338" s="52">
        <f t="shared" si="62"/>
        <v>0</v>
      </c>
      <c r="P338" s="53">
        <f t="shared" si="63"/>
        <v>0</v>
      </c>
      <c r="Q338" s="54" t="str">
        <f t="shared" si="64"/>
        <v/>
      </c>
      <c r="R338" s="58" t="str">
        <f t="shared" si="65"/>
        <v/>
      </c>
      <c r="S338" s="51"/>
    </row>
    <row r="339" spans="1:19" s="44" customFormat="1">
      <c r="A339" s="15"/>
      <c r="B339" s="75"/>
      <c r="C339" s="18" t="str">
        <f>IF(B339="","",VLOOKUP(B339,'Tabla de proceso'!$B$6:$G$28,2,))</f>
        <v/>
      </c>
      <c r="D339" s="17" t="str">
        <f>IF(B339="","",VLOOKUP(B339,'Tabla de proceso'!$B$5:$G$28,3,0))</f>
        <v/>
      </c>
      <c r="E339" s="13" t="str">
        <f t="shared" si="55"/>
        <v/>
      </c>
      <c r="F339" s="13" t="str">
        <f t="shared" si="56"/>
        <v/>
      </c>
      <c r="G339" s="13" t="str">
        <f t="shared" si="57"/>
        <v/>
      </c>
      <c r="H339" s="13" t="e">
        <f t="shared" si="58"/>
        <v>#VALUE!</v>
      </c>
      <c r="I339" s="47"/>
      <c r="J339" s="16">
        <f t="shared" si="59"/>
        <v>0</v>
      </c>
      <c r="K339" s="45" t="str">
        <f t="shared" si="60"/>
        <v>sábado</v>
      </c>
      <c r="L339" s="49"/>
      <c r="M339" s="50"/>
      <c r="N339" s="52">
        <f t="shared" si="61"/>
        <v>0</v>
      </c>
      <c r="O339" s="52">
        <f t="shared" si="62"/>
        <v>0</v>
      </c>
      <c r="P339" s="53">
        <f t="shared" si="63"/>
        <v>0</v>
      </c>
      <c r="Q339" s="54" t="str">
        <f t="shared" si="64"/>
        <v/>
      </c>
      <c r="R339" s="58" t="str">
        <f t="shared" si="65"/>
        <v/>
      </c>
      <c r="S339" s="51"/>
    </row>
    <row r="340" spans="1:19" s="44" customFormat="1">
      <c r="A340" s="15"/>
      <c r="B340" s="75"/>
      <c r="C340" s="18" t="str">
        <f>IF(B340="","",VLOOKUP(B340,'Tabla de proceso'!$B$6:$G$28,2,))</f>
        <v/>
      </c>
      <c r="D340" s="17" t="str">
        <f>IF(B340="","",VLOOKUP(B340,'Tabla de proceso'!$B$5:$G$28,3,0))</f>
        <v/>
      </c>
      <c r="E340" s="13" t="str">
        <f t="shared" si="55"/>
        <v/>
      </c>
      <c r="F340" s="13" t="str">
        <f t="shared" si="56"/>
        <v/>
      </c>
      <c r="G340" s="13" t="str">
        <f t="shared" si="57"/>
        <v/>
      </c>
      <c r="H340" s="13" t="e">
        <f t="shared" si="58"/>
        <v>#VALUE!</v>
      </c>
      <c r="I340" s="47"/>
      <c r="J340" s="16">
        <f t="shared" si="59"/>
        <v>0</v>
      </c>
      <c r="K340" s="45" t="str">
        <f t="shared" si="60"/>
        <v>sábado</v>
      </c>
      <c r="L340" s="49"/>
      <c r="M340" s="50"/>
      <c r="N340" s="52">
        <f t="shared" si="61"/>
        <v>0</v>
      </c>
      <c r="O340" s="52">
        <f t="shared" si="62"/>
        <v>0</v>
      </c>
      <c r="P340" s="53">
        <f t="shared" si="63"/>
        <v>0</v>
      </c>
      <c r="Q340" s="54" t="str">
        <f t="shared" si="64"/>
        <v/>
      </c>
      <c r="R340" s="58" t="str">
        <f t="shared" si="65"/>
        <v/>
      </c>
      <c r="S340" s="51"/>
    </row>
    <row r="341" spans="1:19" s="44" customFormat="1">
      <c r="A341" s="15"/>
      <c r="B341" s="75"/>
      <c r="C341" s="18" t="str">
        <f>IF(B341="","",VLOOKUP(B341,'Tabla de proceso'!$B$6:$G$28,2,))</f>
        <v/>
      </c>
      <c r="D341" s="17" t="str">
        <f>IF(B341="","",VLOOKUP(B341,'Tabla de proceso'!$B$5:$G$28,3,0))</f>
        <v/>
      </c>
      <c r="E341" s="13" t="str">
        <f t="shared" si="55"/>
        <v/>
      </c>
      <c r="F341" s="13" t="str">
        <f t="shared" si="56"/>
        <v/>
      </c>
      <c r="G341" s="13" t="str">
        <f t="shared" si="57"/>
        <v/>
      </c>
      <c r="H341" s="13" t="e">
        <f t="shared" si="58"/>
        <v>#VALUE!</v>
      </c>
      <c r="I341" s="47"/>
      <c r="J341" s="16">
        <f t="shared" si="59"/>
        <v>0</v>
      </c>
      <c r="K341" s="45" t="str">
        <f t="shared" si="60"/>
        <v>sábado</v>
      </c>
      <c r="L341" s="49"/>
      <c r="M341" s="50"/>
      <c r="N341" s="52">
        <f t="shared" si="61"/>
        <v>0</v>
      </c>
      <c r="O341" s="52">
        <f t="shared" si="62"/>
        <v>0</v>
      </c>
      <c r="P341" s="53">
        <f t="shared" si="63"/>
        <v>0</v>
      </c>
      <c r="Q341" s="54" t="str">
        <f t="shared" si="64"/>
        <v/>
      </c>
      <c r="R341" s="58" t="str">
        <f t="shared" si="65"/>
        <v/>
      </c>
      <c r="S341" s="51"/>
    </row>
    <row r="342" spans="1:19" s="44" customFormat="1">
      <c r="A342" s="15"/>
      <c r="B342" s="75"/>
      <c r="C342" s="18" t="str">
        <f>IF(B342="","",VLOOKUP(B342,'Tabla de proceso'!$B$6:$G$28,2,))</f>
        <v/>
      </c>
      <c r="D342" s="17" t="str">
        <f>IF(B342="","",VLOOKUP(B342,'Tabla de proceso'!$B$5:$G$28,3,0))</f>
        <v/>
      </c>
      <c r="E342" s="13" t="str">
        <f t="shared" si="55"/>
        <v/>
      </c>
      <c r="F342" s="13" t="str">
        <f t="shared" si="56"/>
        <v/>
      </c>
      <c r="G342" s="13" t="str">
        <f t="shared" si="57"/>
        <v/>
      </c>
      <c r="H342" s="13" t="e">
        <f t="shared" si="58"/>
        <v>#VALUE!</v>
      </c>
      <c r="I342" s="47"/>
      <c r="J342" s="16">
        <f t="shared" si="59"/>
        <v>0</v>
      </c>
      <c r="K342" s="45" t="str">
        <f t="shared" si="60"/>
        <v>sábado</v>
      </c>
      <c r="L342" s="49"/>
      <c r="M342" s="50"/>
      <c r="N342" s="52">
        <f t="shared" si="61"/>
        <v>0</v>
      </c>
      <c r="O342" s="52">
        <f t="shared" si="62"/>
        <v>0</v>
      </c>
      <c r="P342" s="53">
        <f t="shared" si="63"/>
        <v>0</v>
      </c>
      <c r="Q342" s="54" t="str">
        <f t="shared" si="64"/>
        <v/>
      </c>
      <c r="R342" s="58" t="str">
        <f t="shared" si="65"/>
        <v/>
      </c>
      <c r="S342" s="51"/>
    </row>
    <row r="343" spans="1:19" s="44" customFormat="1">
      <c r="A343" s="15"/>
      <c r="B343" s="75"/>
      <c r="C343" s="18" t="str">
        <f>IF(B343="","",VLOOKUP(B343,'Tabla de proceso'!$B$6:$G$28,2,))</f>
        <v/>
      </c>
      <c r="D343" s="17" t="str">
        <f>IF(B343="","",VLOOKUP(B343,'Tabla de proceso'!$B$5:$G$28,3,0))</f>
        <v/>
      </c>
      <c r="E343" s="13" t="str">
        <f t="shared" si="55"/>
        <v/>
      </c>
      <c r="F343" s="13" t="str">
        <f t="shared" si="56"/>
        <v/>
      </c>
      <c r="G343" s="13" t="str">
        <f t="shared" si="57"/>
        <v/>
      </c>
      <c r="H343" s="13" t="e">
        <f t="shared" si="58"/>
        <v>#VALUE!</v>
      </c>
      <c r="I343" s="47"/>
      <c r="J343" s="16">
        <f t="shared" si="59"/>
        <v>0</v>
      </c>
      <c r="K343" s="45" t="str">
        <f t="shared" si="60"/>
        <v>sábado</v>
      </c>
      <c r="L343" s="49"/>
      <c r="M343" s="50"/>
      <c r="N343" s="52">
        <f t="shared" si="61"/>
        <v>0</v>
      </c>
      <c r="O343" s="52">
        <f t="shared" si="62"/>
        <v>0</v>
      </c>
      <c r="P343" s="53">
        <f t="shared" si="63"/>
        <v>0</v>
      </c>
      <c r="Q343" s="54" t="str">
        <f t="shared" si="64"/>
        <v/>
      </c>
      <c r="R343" s="58" t="str">
        <f t="shared" si="65"/>
        <v/>
      </c>
      <c r="S343" s="51"/>
    </row>
    <row r="344" spans="1:19" s="44" customFormat="1">
      <c r="A344" s="15"/>
      <c r="B344" s="75"/>
      <c r="C344" s="18" t="str">
        <f>IF(B344="","",VLOOKUP(B344,'Tabla de proceso'!$B$6:$G$28,2,))</f>
        <v/>
      </c>
      <c r="D344" s="17" t="str">
        <f>IF(B344="","",VLOOKUP(B344,'Tabla de proceso'!$B$5:$G$28,3,0))</f>
        <v/>
      </c>
      <c r="E344" s="13" t="str">
        <f t="shared" si="55"/>
        <v/>
      </c>
      <c r="F344" s="13" t="str">
        <f t="shared" si="56"/>
        <v/>
      </c>
      <c r="G344" s="13" t="str">
        <f t="shared" si="57"/>
        <v/>
      </c>
      <c r="H344" s="13" t="e">
        <f t="shared" si="58"/>
        <v>#VALUE!</v>
      </c>
      <c r="I344" s="47"/>
      <c r="J344" s="16">
        <f t="shared" si="59"/>
        <v>0</v>
      </c>
      <c r="K344" s="45" t="str">
        <f t="shared" si="60"/>
        <v>sábado</v>
      </c>
      <c r="L344" s="49"/>
      <c r="M344" s="50"/>
      <c r="N344" s="52">
        <f t="shared" si="61"/>
        <v>0</v>
      </c>
      <c r="O344" s="52">
        <f t="shared" si="62"/>
        <v>0</v>
      </c>
      <c r="P344" s="53">
        <f t="shared" si="63"/>
        <v>0</v>
      </c>
      <c r="Q344" s="54" t="str">
        <f t="shared" si="64"/>
        <v/>
      </c>
      <c r="R344" s="58" t="str">
        <f t="shared" si="65"/>
        <v/>
      </c>
      <c r="S344" s="51"/>
    </row>
    <row r="345" spans="1:19" s="44" customFormat="1">
      <c r="A345" s="15"/>
      <c r="B345" s="75"/>
      <c r="C345" s="18" t="str">
        <f>IF(B345="","",VLOOKUP(B345,'Tabla de proceso'!$B$6:$G$28,2,))</f>
        <v/>
      </c>
      <c r="D345" s="17" t="str">
        <f>IF(B345="","",VLOOKUP(B345,'Tabla de proceso'!$B$5:$G$28,3,0))</f>
        <v/>
      </c>
      <c r="E345" s="13" t="str">
        <f t="shared" si="55"/>
        <v/>
      </c>
      <c r="F345" s="13" t="str">
        <f t="shared" si="56"/>
        <v/>
      </c>
      <c r="G345" s="13" t="str">
        <f t="shared" si="57"/>
        <v/>
      </c>
      <c r="H345" s="13" t="e">
        <f t="shared" si="58"/>
        <v>#VALUE!</v>
      </c>
      <c r="I345" s="47"/>
      <c r="J345" s="16">
        <f t="shared" si="59"/>
        <v>0</v>
      </c>
      <c r="K345" s="45" t="str">
        <f t="shared" si="60"/>
        <v>sábado</v>
      </c>
      <c r="L345" s="49"/>
      <c r="M345" s="50"/>
      <c r="N345" s="52">
        <f t="shared" si="61"/>
        <v>0</v>
      </c>
      <c r="O345" s="52">
        <f t="shared" si="62"/>
        <v>0</v>
      </c>
      <c r="P345" s="53">
        <f t="shared" si="63"/>
        <v>0</v>
      </c>
      <c r="Q345" s="54" t="str">
        <f t="shared" si="64"/>
        <v/>
      </c>
      <c r="R345" s="58" t="str">
        <f t="shared" si="65"/>
        <v/>
      </c>
      <c r="S345" s="51"/>
    </row>
    <row r="346" spans="1:19" s="44" customFormat="1">
      <c r="A346" s="15"/>
      <c r="B346" s="75"/>
      <c r="C346" s="18" t="str">
        <f>IF(B346="","",VLOOKUP(B346,'Tabla de proceso'!$B$6:$G$28,2,))</f>
        <v/>
      </c>
      <c r="D346" s="17" t="str">
        <f>IF(B346="","",VLOOKUP(B346,'Tabla de proceso'!$B$5:$G$28,3,0))</f>
        <v/>
      </c>
      <c r="E346" s="13" t="str">
        <f t="shared" si="55"/>
        <v/>
      </c>
      <c r="F346" s="13" t="str">
        <f t="shared" si="56"/>
        <v/>
      </c>
      <c r="G346" s="13" t="str">
        <f t="shared" si="57"/>
        <v/>
      </c>
      <c r="H346" s="13" t="e">
        <f t="shared" si="58"/>
        <v>#VALUE!</v>
      </c>
      <c r="I346" s="47"/>
      <c r="J346" s="16">
        <f t="shared" si="59"/>
        <v>0</v>
      </c>
      <c r="K346" s="45" t="str">
        <f t="shared" si="60"/>
        <v>sábado</v>
      </c>
      <c r="L346" s="49"/>
      <c r="M346" s="50"/>
      <c r="N346" s="52">
        <f t="shared" si="61"/>
        <v>0</v>
      </c>
      <c r="O346" s="52">
        <f t="shared" si="62"/>
        <v>0</v>
      </c>
      <c r="P346" s="53">
        <f t="shared" si="63"/>
        <v>0</v>
      </c>
      <c r="Q346" s="54" t="str">
        <f t="shared" si="64"/>
        <v/>
      </c>
      <c r="R346" s="58" t="str">
        <f t="shared" si="65"/>
        <v/>
      </c>
      <c r="S346" s="51"/>
    </row>
    <row r="347" spans="1:19" s="44" customFormat="1">
      <c r="A347" s="15"/>
      <c r="B347" s="75"/>
      <c r="C347" s="18" t="str">
        <f>IF(B347="","",VLOOKUP(B347,'Tabla de proceso'!$B$6:$G$28,2,))</f>
        <v/>
      </c>
      <c r="D347" s="17" t="str">
        <f>IF(B347="","",VLOOKUP(B347,'Tabla de proceso'!$B$5:$G$28,3,0))</f>
        <v/>
      </c>
      <c r="E347" s="13" t="str">
        <f t="shared" si="55"/>
        <v/>
      </c>
      <c r="F347" s="13" t="str">
        <f t="shared" si="56"/>
        <v/>
      </c>
      <c r="G347" s="13" t="str">
        <f t="shared" si="57"/>
        <v/>
      </c>
      <c r="H347" s="13" t="e">
        <f t="shared" si="58"/>
        <v>#VALUE!</v>
      </c>
      <c r="I347" s="47"/>
      <c r="J347" s="16">
        <f t="shared" si="59"/>
        <v>0</v>
      </c>
      <c r="K347" s="45" t="str">
        <f t="shared" si="60"/>
        <v>sábado</v>
      </c>
      <c r="L347" s="49"/>
      <c r="M347" s="50"/>
      <c r="N347" s="52">
        <f t="shared" si="61"/>
        <v>0</v>
      </c>
      <c r="O347" s="52">
        <f t="shared" si="62"/>
        <v>0</v>
      </c>
      <c r="P347" s="53">
        <f t="shared" si="63"/>
        <v>0</v>
      </c>
      <c r="Q347" s="54" t="str">
        <f t="shared" si="64"/>
        <v/>
      </c>
      <c r="R347" s="58" t="str">
        <f t="shared" si="65"/>
        <v/>
      </c>
      <c r="S347" s="51"/>
    </row>
    <row r="348" spans="1:19" s="44" customFormat="1">
      <c r="A348" s="15"/>
      <c r="B348" s="75"/>
      <c r="C348" s="18" t="str">
        <f>IF(B348="","",VLOOKUP(B348,'Tabla de proceso'!$B$6:$G$28,2,))</f>
        <v/>
      </c>
      <c r="D348" s="17" t="str">
        <f>IF(B348="","",VLOOKUP(B348,'Tabla de proceso'!$B$5:$G$28,3,0))</f>
        <v/>
      </c>
      <c r="E348" s="13" t="str">
        <f t="shared" si="55"/>
        <v/>
      </c>
      <c r="F348" s="13" t="str">
        <f t="shared" si="56"/>
        <v/>
      </c>
      <c r="G348" s="13" t="str">
        <f t="shared" si="57"/>
        <v/>
      </c>
      <c r="H348" s="13" t="e">
        <f t="shared" si="58"/>
        <v>#VALUE!</v>
      </c>
      <c r="I348" s="47"/>
      <c r="J348" s="16">
        <f t="shared" si="59"/>
        <v>0</v>
      </c>
      <c r="K348" s="45" t="str">
        <f t="shared" si="60"/>
        <v>sábado</v>
      </c>
      <c r="L348" s="49"/>
      <c r="M348" s="50"/>
      <c r="N348" s="52">
        <f t="shared" si="61"/>
        <v>0</v>
      </c>
      <c r="O348" s="52">
        <f t="shared" si="62"/>
        <v>0</v>
      </c>
      <c r="P348" s="53">
        <f t="shared" si="63"/>
        <v>0</v>
      </c>
      <c r="Q348" s="54" t="str">
        <f t="shared" si="64"/>
        <v/>
      </c>
      <c r="R348" s="58" t="str">
        <f t="shared" si="65"/>
        <v/>
      </c>
      <c r="S348" s="51"/>
    </row>
    <row r="349" spans="1:19" s="44" customFormat="1">
      <c r="A349" s="15"/>
      <c r="B349" s="75"/>
      <c r="C349" s="18" t="str">
        <f>IF(B349="","",VLOOKUP(B349,'Tabla de proceso'!$B$6:$G$28,2,))</f>
        <v/>
      </c>
      <c r="D349" s="17" t="str">
        <f>IF(B349="","",VLOOKUP(B349,'Tabla de proceso'!$B$5:$G$28,3,0))</f>
        <v/>
      </c>
      <c r="E349" s="13" t="str">
        <f t="shared" si="55"/>
        <v/>
      </c>
      <c r="F349" s="13" t="str">
        <f t="shared" si="56"/>
        <v/>
      </c>
      <c r="G349" s="13" t="str">
        <f t="shared" si="57"/>
        <v/>
      </c>
      <c r="H349" s="13" t="e">
        <f t="shared" si="58"/>
        <v>#VALUE!</v>
      </c>
      <c r="I349" s="47"/>
      <c r="J349" s="16">
        <f t="shared" si="59"/>
        <v>0</v>
      </c>
      <c r="K349" s="45" t="str">
        <f t="shared" si="60"/>
        <v>sábado</v>
      </c>
      <c r="L349" s="49"/>
      <c r="M349" s="50"/>
      <c r="N349" s="52">
        <f t="shared" si="61"/>
        <v>0</v>
      </c>
      <c r="O349" s="52">
        <f t="shared" si="62"/>
        <v>0</v>
      </c>
      <c r="P349" s="53">
        <f t="shared" si="63"/>
        <v>0</v>
      </c>
      <c r="Q349" s="54" t="str">
        <f t="shared" si="64"/>
        <v/>
      </c>
      <c r="R349" s="58" t="str">
        <f t="shared" si="65"/>
        <v/>
      </c>
      <c r="S349" s="51"/>
    </row>
    <row r="350" spans="1:19" s="44" customFormat="1">
      <c r="A350" s="15"/>
      <c r="B350" s="75"/>
      <c r="C350" s="18" t="str">
        <f>IF(B350="","",VLOOKUP(B350,'Tabla de proceso'!$B$6:$G$28,2,))</f>
        <v/>
      </c>
      <c r="D350" s="17" t="str">
        <f>IF(B350="","",VLOOKUP(B350,'Tabla de proceso'!$B$5:$G$28,3,0))</f>
        <v/>
      </c>
      <c r="E350" s="13" t="str">
        <f t="shared" si="55"/>
        <v/>
      </c>
      <c r="F350" s="13" t="str">
        <f t="shared" si="56"/>
        <v/>
      </c>
      <c r="G350" s="13" t="str">
        <f t="shared" si="57"/>
        <v/>
      </c>
      <c r="H350" s="13" t="e">
        <f t="shared" si="58"/>
        <v>#VALUE!</v>
      </c>
      <c r="I350" s="47"/>
      <c r="J350" s="16">
        <f t="shared" si="59"/>
        <v>0</v>
      </c>
      <c r="K350" s="45" t="str">
        <f t="shared" si="60"/>
        <v>sábado</v>
      </c>
      <c r="L350" s="49"/>
      <c r="M350" s="50"/>
      <c r="N350" s="52">
        <f t="shared" si="61"/>
        <v>0</v>
      </c>
      <c r="O350" s="52">
        <f t="shared" si="62"/>
        <v>0</v>
      </c>
      <c r="P350" s="53">
        <f t="shared" si="63"/>
        <v>0</v>
      </c>
      <c r="Q350" s="54" t="str">
        <f t="shared" si="64"/>
        <v/>
      </c>
      <c r="R350" s="58" t="str">
        <f t="shared" si="65"/>
        <v/>
      </c>
      <c r="S350" s="51"/>
    </row>
    <row r="351" spans="1:19" s="44" customFormat="1">
      <c r="A351" s="15"/>
      <c r="B351" s="75"/>
      <c r="C351" s="18" t="str">
        <f>IF(B351="","",VLOOKUP(B351,'Tabla de proceso'!$B$6:$G$28,2,))</f>
        <v/>
      </c>
      <c r="D351" s="17" t="str">
        <f>IF(B351="","",VLOOKUP(B351,'Tabla de proceso'!$B$5:$G$28,3,0))</f>
        <v/>
      </c>
      <c r="E351" s="13" t="str">
        <f t="shared" si="55"/>
        <v/>
      </c>
      <c r="F351" s="13" t="str">
        <f t="shared" si="56"/>
        <v/>
      </c>
      <c r="G351" s="13" t="str">
        <f t="shared" si="57"/>
        <v/>
      </c>
      <c r="H351" s="13" t="e">
        <f t="shared" si="58"/>
        <v>#VALUE!</v>
      </c>
      <c r="I351" s="47"/>
      <c r="J351" s="16">
        <f t="shared" si="59"/>
        <v>0</v>
      </c>
      <c r="K351" s="45" t="str">
        <f t="shared" si="60"/>
        <v>sábado</v>
      </c>
      <c r="L351" s="49"/>
      <c r="M351" s="50"/>
      <c r="N351" s="52">
        <f t="shared" si="61"/>
        <v>0</v>
      </c>
      <c r="O351" s="52">
        <f t="shared" si="62"/>
        <v>0</v>
      </c>
      <c r="P351" s="53">
        <f t="shared" si="63"/>
        <v>0</v>
      </c>
      <c r="Q351" s="54" t="str">
        <f t="shared" si="64"/>
        <v/>
      </c>
      <c r="R351" s="58" t="str">
        <f t="shared" si="65"/>
        <v/>
      </c>
      <c r="S351" s="51"/>
    </row>
    <row r="352" spans="1:19" s="44" customFormat="1">
      <c r="A352" s="15"/>
      <c r="B352" s="75"/>
      <c r="C352" s="18" t="str">
        <f>IF(B352="","",VLOOKUP(B352,'Tabla de proceso'!$B$6:$G$28,2,))</f>
        <v/>
      </c>
      <c r="D352" s="17" t="str">
        <f>IF(B352="","",VLOOKUP(B352,'Tabla de proceso'!$B$5:$G$28,3,0))</f>
        <v/>
      </c>
      <c r="E352" s="13" t="str">
        <f t="shared" si="55"/>
        <v/>
      </c>
      <c r="F352" s="13" t="str">
        <f t="shared" si="56"/>
        <v/>
      </c>
      <c r="G352" s="13" t="str">
        <f t="shared" si="57"/>
        <v/>
      </c>
      <c r="H352" s="13" t="e">
        <f t="shared" si="58"/>
        <v>#VALUE!</v>
      </c>
      <c r="I352" s="47"/>
      <c r="J352" s="16">
        <f t="shared" si="59"/>
        <v>0</v>
      </c>
      <c r="K352" s="45" t="str">
        <f t="shared" si="60"/>
        <v>sábado</v>
      </c>
      <c r="L352" s="49"/>
      <c r="M352" s="50"/>
      <c r="N352" s="52">
        <f t="shared" si="61"/>
        <v>0</v>
      </c>
      <c r="O352" s="52">
        <f t="shared" si="62"/>
        <v>0</v>
      </c>
      <c r="P352" s="53">
        <f t="shared" si="63"/>
        <v>0</v>
      </c>
      <c r="Q352" s="54" t="str">
        <f t="shared" si="64"/>
        <v/>
      </c>
      <c r="R352" s="58" t="str">
        <f t="shared" si="65"/>
        <v/>
      </c>
      <c r="S352" s="51"/>
    </row>
    <row r="353" spans="1:19" s="44" customFormat="1">
      <c r="A353" s="15"/>
      <c r="B353" s="75"/>
      <c r="C353" s="18" t="str">
        <f>IF(B353="","",VLOOKUP(B353,'Tabla de proceso'!$B$6:$G$28,2,))</f>
        <v/>
      </c>
      <c r="D353" s="17" t="str">
        <f>IF(B353="","",VLOOKUP(B353,'Tabla de proceso'!$B$5:$G$28,3,0))</f>
        <v/>
      </c>
      <c r="E353" s="13" t="str">
        <f t="shared" si="55"/>
        <v/>
      </c>
      <c r="F353" s="13" t="str">
        <f t="shared" si="56"/>
        <v/>
      </c>
      <c r="G353" s="13" t="str">
        <f t="shared" si="57"/>
        <v/>
      </c>
      <c r="H353" s="13" t="e">
        <f t="shared" si="58"/>
        <v>#VALUE!</v>
      </c>
      <c r="I353" s="47"/>
      <c r="J353" s="16">
        <f t="shared" si="59"/>
        <v>0</v>
      </c>
      <c r="K353" s="45" t="str">
        <f t="shared" si="60"/>
        <v>sábado</v>
      </c>
      <c r="L353" s="49"/>
      <c r="M353" s="50"/>
      <c r="N353" s="52">
        <f t="shared" si="61"/>
        <v>0</v>
      </c>
      <c r="O353" s="52">
        <f t="shared" si="62"/>
        <v>0</v>
      </c>
      <c r="P353" s="53">
        <f t="shared" si="63"/>
        <v>0</v>
      </c>
      <c r="Q353" s="54" t="str">
        <f t="shared" si="64"/>
        <v/>
      </c>
      <c r="R353" s="58" t="str">
        <f t="shared" si="65"/>
        <v/>
      </c>
      <c r="S353" s="51"/>
    </row>
    <row r="354" spans="1:19" s="44" customFormat="1">
      <c r="A354" s="15"/>
      <c r="B354" s="75"/>
      <c r="C354" s="18" t="str">
        <f>IF(B354="","",VLOOKUP(B354,'Tabla de proceso'!$B$6:$G$28,2,))</f>
        <v/>
      </c>
      <c r="D354" s="17" t="str">
        <f>IF(B354="","",VLOOKUP(B354,'Tabla de proceso'!$B$5:$G$28,3,0))</f>
        <v/>
      </c>
      <c r="E354" s="13" t="str">
        <f t="shared" si="55"/>
        <v/>
      </c>
      <c r="F354" s="13" t="str">
        <f t="shared" si="56"/>
        <v/>
      </c>
      <c r="G354" s="13" t="str">
        <f t="shared" si="57"/>
        <v/>
      </c>
      <c r="H354" s="13" t="e">
        <f t="shared" si="58"/>
        <v>#VALUE!</v>
      </c>
      <c r="I354" s="47"/>
      <c r="J354" s="16">
        <f t="shared" si="59"/>
        <v>0</v>
      </c>
      <c r="K354" s="45" t="str">
        <f t="shared" si="60"/>
        <v>sábado</v>
      </c>
      <c r="L354" s="49"/>
      <c r="M354" s="50"/>
      <c r="N354" s="52">
        <f t="shared" si="61"/>
        <v>0</v>
      </c>
      <c r="O354" s="52">
        <f t="shared" si="62"/>
        <v>0</v>
      </c>
      <c r="P354" s="53">
        <f t="shared" si="63"/>
        <v>0</v>
      </c>
      <c r="Q354" s="54" t="str">
        <f t="shared" si="64"/>
        <v/>
      </c>
      <c r="R354" s="58" t="str">
        <f t="shared" si="65"/>
        <v/>
      </c>
      <c r="S354" s="51"/>
    </row>
    <row r="355" spans="1:19" s="44" customFormat="1">
      <c r="A355" s="15"/>
      <c r="B355" s="75"/>
      <c r="C355" s="18" t="str">
        <f>IF(B355="","",VLOOKUP(B355,'Tabla de proceso'!$B$6:$G$28,2,))</f>
        <v/>
      </c>
      <c r="D355" s="17" t="str">
        <f>IF(B355="","",VLOOKUP(B355,'Tabla de proceso'!$B$5:$G$28,3,0))</f>
        <v/>
      </c>
      <c r="E355" s="13" t="str">
        <f t="shared" si="55"/>
        <v/>
      </c>
      <c r="F355" s="13" t="str">
        <f t="shared" si="56"/>
        <v/>
      </c>
      <c r="G355" s="13" t="str">
        <f t="shared" si="57"/>
        <v/>
      </c>
      <c r="H355" s="13" t="e">
        <f t="shared" si="58"/>
        <v>#VALUE!</v>
      </c>
      <c r="I355" s="47"/>
      <c r="J355" s="16">
        <f t="shared" si="59"/>
        <v>0</v>
      </c>
      <c r="K355" s="45" t="str">
        <f t="shared" si="60"/>
        <v>sábado</v>
      </c>
      <c r="L355" s="48"/>
      <c r="M355" s="50"/>
      <c r="N355" s="52">
        <f t="shared" si="61"/>
        <v>0</v>
      </c>
      <c r="O355" s="52">
        <f t="shared" si="62"/>
        <v>0</v>
      </c>
      <c r="P355" s="53">
        <f t="shared" si="63"/>
        <v>0</v>
      </c>
      <c r="Q355" s="54" t="str">
        <f t="shared" si="64"/>
        <v/>
      </c>
      <c r="R355" s="58" t="str">
        <f t="shared" si="65"/>
        <v/>
      </c>
      <c r="S355" s="51"/>
    </row>
    <row r="356" spans="1:19" s="44" customFormat="1">
      <c r="A356" s="15"/>
      <c r="B356" s="75"/>
      <c r="C356" s="18" t="str">
        <f>IF(B356="","",VLOOKUP(B356,'Tabla de proceso'!$B$6:$G$28,2,))</f>
        <v/>
      </c>
      <c r="D356" s="17" t="str">
        <f>IF(B356="","",VLOOKUP(B356,'Tabla de proceso'!$B$5:$G$28,3,0))</f>
        <v/>
      </c>
      <c r="E356" s="13" t="str">
        <f t="shared" si="55"/>
        <v/>
      </c>
      <c r="F356" s="13" t="str">
        <f t="shared" si="56"/>
        <v/>
      </c>
      <c r="G356" s="13" t="str">
        <f t="shared" si="57"/>
        <v/>
      </c>
      <c r="H356" s="13" t="e">
        <f t="shared" si="58"/>
        <v>#VALUE!</v>
      </c>
      <c r="I356" s="47"/>
      <c r="J356" s="16">
        <f t="shared" si="59"/>
        <v>0</v>
      </c>
      <c r="K356" s="45" t="str">
        <f t="shared" si="60"/>
        <v>sábado</v>
      </c>
      <c r="L356" s="48"/>
      <c r="M356" s="50"/>
      <c r="N356" s="52">
        <f t="shared" si="61"/>
        <v>0</v>
      </c>
      <c r="O356" s="52">
        <f t="shared" si="62"/>
        <v>0</v>
      </c>
      <c r="P356" s="53">
        <f t="shared" si="63"/>
        <v>0</v>
      </c>
      <c r="Q356" s="54" t="str">
        <f t="shared" si="64"/>
        <v/>
      </c>
      <c r="R356" s="58" t="str">
        <f t="shared" si="65"/>
        <v/>
      </c>
      <c r="S356" s="51"/>
    </row>
    <row r="357" spans="1:19" s="44" customFormat="1">
      <c r="A357" s="15"/>
      <c r="B357" s="75"/>
      <c r="C357" s="18" t="str">
        <f>IF(B357="","",VLOOKUP(B357,'Tabla de proceso'!$B$6:$G$28,2,))</f>
        <v/>
      </c>
      <c r="D357" s="17" t="str">
        <f>IF(B357="","",VLOOKUP(B357,'Tabla de proceso'!$B$5:$G$28,3,0))</f>
        <v/>
      </c>
      <c r="E357" s="13" t="str">
        <f t="shared" si="55"/>
        <v/>
      </c>
      <c r="F357" s="13" t="str">
        <f t="shared" si="56"/>
        <v/>
      </c>
      <c r="G357" s="13" t="str">
        <f t="shared" si="57"/>
        <v/>
      </c>
      <c r="H357" s="13" t="e">
        <f t="shared" si="58"/>
        <v>#VALUE!</v>
      </c>
      <c r="I357" s="47"/>
      <c r="J357" s="16">
        <f t="shared" si="59"/>
        <v>0</v>
      </c>
      <c r="K357" s="45" t="str">
        <f t="shared" si="60"/>
        <v>sábado</v>
      </c>
      <c r="L357" s="48"/>
      <c r="M357" s="50"/>
      <c r="N357" s="52">
        <f t="shared" si="61"/>
        <v>0</v>
      </c>
      <c r="O357" s="52">
        <f t="shared" si="62"/>
        <v>0</v>
      </c>
      <c r="P357" s="53">
        <f t="shared" si="63"/>
        <v>0</v>
      </c>
      <c r="Q357" s="54" t="str">
        <f t="shared" si="64"/>
        <v/>
      </c>
      <c r="R357" s="58" t="str">
        <f t="shared" si="65"/>
        <v/>
      </c>
      <c r="S357" s="51"/>
    </row>
    <row r="358" spans="1:19" s="44" customFormat="1">
      <c r="A358" s="15"/>
      <c r="B358" s="75"/>
      <c r="C358" s="18" t="str">
        <f>IF(B358="","",VLOOKUP(B358,'Tabla de proceso'!$B$6:$G$28,2,))</f>
        <v/>
      </c>
      <c r="D358" s="17" t="str">
        <f>IF(B358="","",VLOOKUP(B358,'Tabla de proceso'!$B$5:$G$28,3,0))</f>
        <v/>
      </c>
      <c r="E358" s="13" t="str">
        <f t="shared" si="55"/>
        <v/>
      </c>
      <c r="F358" s="13" t="str">
        <f t="shared" si="56"/>
        <v/>
      </c>
      <c r="G358" s="13" t="str">
        <f t="shared" si="57"/>
        <v/>
      </c>
      <c r="H358" s="13" t="e">
        <f t="shared" si="58"/>
        <v>#VALUE!</v>
      </c>
      <c r="I358" s="47"/>
      <c r="J358" s="16">
        <f t="shared" si="59"/>
        <v>0</v>
      </c>
      <c r="K358" s="45" t="str">
        <f t="shared" si="60"/>
        <v>sábado</v>
      </c>
      <c r="L358" s="48"/>
      <c r="M358" s="50"/>
      <c r="N358" s="52">
        <f t="shared" si="61"/>
        <v>0</v>
      </c>
      <c r="O358" s="52">
        <f t="shared" si="62"/>
        <v>0</v>
      </c>
      <c r="P358" s="53">
        <f t="shared" si="63"/>
        <v>0</v>
      </c>
      <c r="Q358" s="54" t="str">
        <f t="shared" si="64"/>
        <v/>
      </c>
      <c r="R358" s="58" t="str">
        <f t="shared" si="65"/>
        <v/>
      </c>
      <c r="S358" s="51"/>
    </row>
    <row r="359" spans="1:19" s="44" customFormat="1">
      <c r="A359" s="15"/>
      <c r="B359" s="75"/>
      <c r="C359" s="18" t="str">
        <f>IF(B359="","",VLOOKUP(B359,'Tabla de proceso'!$B$6:$G$28,2,))</f>
        <v/>
      </c>
      <c r="D359" s="17" t="str">
        <f>IF(B359="","",VLOOKUP(B359,'Tabla de proceso'!$B$5:$G$28,3,0))</f>
        <v/>
      </c>
      <c r="E359" s="13" t="str">
        <f t="shared" si="55"/>
        <v/>
      </c>
      <c r="F359" s="13" t="str">
        <f t="shared" si="56"/>
        <v/>
      </c>
      <c r="G359" s="13" t="str">
        <f t="shared" si="57"/>
        <v/>
      </c>
      <c r="H359" s="13" t="e">
        <f t="shared" si="58"/>
        <v>#VALUE!</v>
      </c>
      <c r="I359" s="47"/>
      <c r="J359" s="16">
        <f t="shared" si="59"/>
        <v>0</v>
      </c>
      <c r="K359" s="45" t="str">
        <f t="shared" si="60"/>
        <v>sábado</v>
      </c>
      <c r="L359" s="48"/>
      <c r="M359" s="50"/>
      <c r="N359" s="52">
        <f t="shared" si="61"/>
        <v>0</v>
      </c>
      <c r="O359" s="52">
        <f t="shared" si="62"/>
        <v>0</v>
      </c>
      <c r="P359" s="53">
        <f t="shared" si="63"/>
        <v>0</v>
      </c>
      <c r="Q359" s="54" t="str">
        <f t="shared" si="64"/>
        <v/>
      </c>
      <c r="R359" s="58" t="str">
        <f t="shared" si="65"/>
        <v/>
      </c>
      <c r="S359" s="51"/>
    </row>
    <row r="360" spans="1:19" s="44" customFormat="1">
      <c r="A360" s="15"/>
      <c r="B360" s="75"/>
      <c r="C360" s="18" t="str">
        <f>IF(B360="","",VLOOKUP(B360,'Tabla de proceso'!$B$6:$G$28,2,))</f>
        <v/>
      </c>
      <c r="D360" s="17" t="str">
        <f>IF(B360="","",VLOOKUP(B360,'Tabla de proceso'!$B$5:$G$28,3,0))</f>
        <v/>
      </c>
      <c r="E360" s="13" t="str">
        <f t="shared" si="55"/>
        <v/>
      </c>
      <c r="F360" s="13" t="str">
        <f t="shared" si="56"/>
        <v/>
      </c>
      <c r="G360" s="13" t="str">
        <f t="shared" si="57"/>
        <v/>
      </c>
      <c r="H360" s="13" t="e">
        <f t="shared" si="58"/>
        <v>#VALUE!</v>
      </c>
      <c r="I360" s="47"/>
      <c r="J360" s="16">
        <f t="shared" si="59"/>
        <v>0</v>
      </c>
      <c r="K360" s="45" t="str">
        <f t="shared" si="60"/>
        <v>sábado</v>
      </c>
      <c r="L360" s="48"/>
      <c r="M360" s="50"/>
      <c r="N360" s="52">
        <f t="shared" si="61"/>
        <v>0</v>
      </c>
      <c r="O360" s="52">
        <f t="shared" si="62"/>
        <v>0</v>
      </c>
      <c r="P360" s="53">
        <f t="shared" si="63"/>
        <v>0</v>
      </c>
      <c r="Q360" s="54" t="str">
        <f t="shared" si="64"/>
        <v/>
      </c>
      <c r="R360" s="58" t="str">
        <f t="shared" si="65"/>
        <v/>
      </c>
      <c r="S360" s="51"/>
    </row>
    <row r="361" spans="1:19" s="44" customFormat="1">
      <c r="A361" s="15"/>
      <c r="B361" s="75"/>
      <c r="C361" s="18" t="str">
        <f>IF(B361="","",VLOOKUP(B361,'Tabla de proceso'!$B$6:$G$28,2,))</f>
        <v/>
      </c>
      <c r="D361" s="17" t="str">
        <f>IF(B361="","",VLOOKUP(B361,'Tabla de proceso'!$B$5:$G$28,3,0))</f>
        <v/>
      </c>
      <c r="E361" s="13" t="str">
        <f t="shared" si="55"/>
        <v/>
      </c>
      <c r="F361" s="13" t="str">
        <f t="shared" si="56"/>
        <v/>
      </c>
      <c r="G361" s="13" t="str">
        <f t="shared" si="57"/>
        <v/>
      </c>
      <c r="H361" s="13" t="e">
        <f t="shared" si="58"/>
        <v>#VALUE!</v>
      </c>
      <c r="I361" s="47"/>
      <c r="J361" s="16">
        <f t="shared" si="59"/>
        <v>0</v>
      </c>
      <c r="K361" s="45" t="str">
        <f t="shared" si="60"/>
        <v>sábado</v>
      </c>
      <c r="L361" s="48"/>
      <c r="M361" s="50"/>
      <c r="N361" s="52">
        <f t="shared" si="61"/>
        <v>0</v>
      </c>
      <c r="O361" s="52">
        <f t="shared" si="62"/>
        <v>0</v>
      </c>
      <c r="P361" s="53">
        <f t="shared" si="63"/>
        <v>0</v>
      </c>
      <c r="Q361" s="54" t="str">
        <f t="shared" si="64"/>
        <v/>
      </c>
      <c r="R361" s="58" t="str">
        <f t="shared" si="65"/>
        <v/>
      </c>
      <c r="S361" s="51"/>
    </row>
    <row r="362" spans="1:19" s="44" customFormat="1">
      <c r="A362" s="15"/>
      <c r="B362" s="75"/>
      <c r="C362" s="18" t="str">
        <f>IF(B362="","",VLOOKUP(B362,'Tabla de proceso'!$B$6:$G$28,2,))</f>
        <v/>
      </c>
      <c r="D362" s="17" t="str">
        <f>IF(B362="","",VLOOKUP(B362,'Tabla de proceso'!$B$5:$G$28,3,0))</f>
        <v/>
      </c>
      <c r="E362" s="13" t="str">
        <f t="shared" si="55"/>
        <v/>
      </c>
      <c r="F362" s="13" t="str">
        <f t="shared" si="56"/>
        <v/>
      </c>
      <c r="G362" s="13" t="str">
        <f t="shared" si="57"/>
        <v/>
      </c>
      <c r="H362" s="13" t="e">
        <f t="shared" si="58"/>
        <v>#VALUE!</v>
      </c>
      <c r="I362" s="47"/>
      <c r="J362" s="16">
        <f t="shared" si="59"/>
        <v>0</v>
      </c>
      <c r="K362" s="45" t="str">
        <f t="shared" si="60"/>
        <v>sábado</v>
      </c>
      <c r="L362" s="48"/>
      <c r="M362" s="50"/>
      <c r="N362" s="52">
        <f t="shared" si="61"/>
        <v>0</v>
      </c>
      <c r="O362" s="52">
        <f t="shared" si="62"/>
        <v>0</v>
      </c>
      <c r="P362" s="53">
        <f t="shared" si="63"/>
        <v>0</v>
      </c>
      <c r="Q362" s="54" t="str">
        <f t="shared" si="64"/>
        <v/>
      </c>
      <c r="R362" s="58" t="str">
        <f t="shared" si="65"/>
        <v/>
      </c>
      <c r="S362" s="51"/>
    </row>
    <row r="363" spans="1:19" s="44" customFormat="1">
      <c r="A363" s="15"/>
      <c r="B363" s="75"/>
      <c r="C363" s="18" t="str">
        <f>IF(B363="","",VLOOKUP(B363,'Tabla de proceso'!$B$6:$G$28,2,))</f>
        <v/>
      </c>
      <c r="D363" s="17" t="str">
        <f>IF(B363="","",VLOOKUP(B363,'Tabla de proceso'!$B$5:$G$28,3,0))</f>
        <v/>
      </c>
      <c r="E363" s="13" t="str">
        <f t="shared" si="55"/>
        <v/>
      </c>
      <c r="F363" s="13" t="str">
        <f t="shared" si="56"/>
        <v/>
      </c>
      <c r="G363" s="13" t="str">
        <f t="shared" si="57"/>
        <v/>
      </c>
      <c r="H363" s="13" t="e">
        <f t="shared" si="58"/>
        <v>#VALUE!</v>
      </c>
      <c r="I363" s="47"/>
      <c r="J363" s="16">
        <f t="shared" si="59"/>
        <v>0</v>
      </c>
      <c r="K363" s="45" t="str">
        <f t="shared" si="60"/>
        <v>sábado</v>
      </c>
      <c r="L363" s="48"/>
      <c r="M363" s="50"/>
      <c r="N363" s="52">
        <f t="shared" si="61"/>
        <v>0</v>
      </c>
      <c r="O363" s="52">
        <f t="shared" si="62"/>
        <v>0</v>
      </c>
      <c r="P363" s="53">
        <f t="shared" si="63"/>
        <v>0</v>
      </c>
      <c r="Q363" s="54" t="str">
        <f t="shared" si="64"/>
        <v/>
      </c>
      <c r="R363" s="58" t="str">
        <f t="shared" si="65"/>
        <v/>
      </c>
      <c r="S363" s="51"/>
    </row>
    <row r="364" spans="1:19" s="44" customFormat="1">
      <c r="A364" s="15"/>
      <c r="B364" s="75"/>
      <c r="C364" s="18" t="str">
        <f>IF(B364="","",VLOOKUP(B364,'Tabla de proceso'!$B$6:$G$28,2,))</f>
        <v/>
      </c>
      <c r="D364" s="17" t="str">
        <f>IF(B364="","",VLOOKUP(B364,'Tabla de proceso'!$B$5:$G$28,3,0))</f>
        <v/>
      </c>
      <c r="E364" s="13" t="str">
        <f t="shared" si="55"/>
        <v/>
      </c>
      <c r="F364" s="13" t="str">
        <f t="shared" si="56"/>
        <v/>
      </c>
      <c r="G364" s="13" t="str">
        <f t="shared" si="57"/>
        <v/>
      </c>
      <c r="H364" s="13" t="e">
        <f t="shared" si="58"/>
        <v>#VALUE!</v>
      </c>
      <c r="I364" s="47"/>
      <c r="J364" s="16">
        <f t="shared" si="59"/>
        <v>0</v>
      </c>
      <c r="K364" s="45" t="str">
        <f t="shared" si="60"/>
        <v>sábado</v>
      </c>
      <c r="L364" s="48"/>
      <c r="M364" s="50"/>
      <c r="N364" s="52">
        <f t="shared" si="61"/>
        <v>0</v>
      </c>
      <c r="O364" s="52">
        <f t="shared" si="62"/>
        <v>0</v>
      </c>
      <c r="P364" s="53">
        <f t="shared" si="63"/>
        <v>0</v>
      </c>
      <c r="Q364" s="54" t="str">
        <f t="shared" si="64"/>
        <v/>
      </c>
      <c r="R364" s="58" t="str">
        <f t="shared" si="65"/>
        <v/>
      </c>
      <c r="S364" s="51"/>
    </row>
    <row r="365" spans="1:19" s="44" customFormat="1">
      <c r="A365" s="15"/>
      <c r="B365" s="75"/>
      <c r="C365" s="18" t="str">
        <f>IF(B365="","",VLOOKUP(B365,'Tabla de proceso'!$B$6:$G$28,2,))</f>
        <v/>
      </c>
      <c r="D365" s="17" t="str">
        <f>IF(B365="","",VLOOKUP(B365,'Tabla de proceso'!$B$5:$G$28,3,0))</f>
        <v/>
      </c>
      <c r="E365" s="13" t="str">
        <f t="shared" si="55"/>
        <v/>
      </c>
      <c r="F365" s="13" t="str">
        <f t="shared" si="56"/>
        <v/>
      </c>
      <c r="G365" s="13" t="str">
        <f t="shared" si="57"/>
        <v/>
      </c>
      <c r="H365" s="13" t="e">
        <f t="shared" si="58"/>
        <v>#VALUE!</v>
      </c>
      <c r="I365" s="47"/>
      <c r="J365" s="16">
        <f t="shared" si="59"/>
        <v>0</v>
      </c>
      <c r="K365" s="45" t="str">
        <f t="shared" si="60"/>
        <v>sábado</v>
      </c>
      <c r="L365" s="48"/>
      <c r="M365" s="50"/>
      <c r="N365" s="52">
        <f t="shared" si="61"/>
        <v>0</v>
      </c>
      <c r="O365" s="52">
        <f t="shared" si="62"/>
        <v>0</v>
      </c>
      <c r="P365" s="53">
        <f t="shared" si="63"/>
        <v>0</v>
      </c>
      <c r="Q365" s="54" t="str">
        <f t="shared" si="64"/>
        <v/>
      </c>
      <c r="R365" s="58" t="str">
        <f t="shared" si="65"/>
        <v/>
      </c>
      <c r="S365" s="51"/>
    </row>
    <row r="366" spans="1:19" s="44" customFormat="1">
      <c r="A366" s="15"/>
      <c r="B366" s="75"/>
      <c r="C366" s="18" t="str">
        <f>IF(B366="","",VLOOKUP(B366,'Tabla de proceso'!$B$6:$G$28,2,))</f>
        <v/>
      </c>
      <c r="D366" s="17" t="str">
        <f>IF(B366="","",VLOOKUP(B366,'Tabla de proceso'!$B$5:$G$28,3,0))</f>
        <v/>
      </c>
      <c r="E366" s="13" t="str">
        <f t="shared" si="55"/>
        <v/>
      </c>
      <c r="F366" s="13" t="str">
        <f t="shared" si="56"/>
        <v/>
      </c>
      <c r="G366" s="13" t="str">
        <f t="shared" si="57"/>
        <v/>
      </c>
      <c r="H366" s="13" t="e">
        <f t="shared" si="58"/>
        <v>#VALUE!</v>
      </c>
      <c r="I366" s="47"/>
      <c r="J366" s="16">
        <f t="shared" si="59"/>
        <v>0</v>
      </c>
      <c r="K366" s="45" t="str">
        <f t="shared" si="60"/>
        <v>sábado</v>
      </c>
      <c r="L366" s="48"/>
      <c r="M366" s="50"/>
      <c r="N366" s="52">
        <f t="shared" si="61"/>
        <v>0</v>
      </c>
      <c r="O366" s="52">
        <f t="shared" si="62"/>
        <v>0</v>
      </c>
      <c r="P366" s="53">
        <f t="shared" si="63"/>
        <v>0</v>
      </c>
      <c r="Q366" s="54" t="str">
        <f t="shared" si="64"/>
        <v/>
      </c>
      <c r="R366" s="58" t="str">
        <f t="shared" si="65"/>
        <v/>
      </c>
      <c r="S366" s="51"/>
    </row>
    <row r="367" spans="1:19" s="44" customFormat="1">
      <c r="A367" s="15"/>
      <c r="B367" s="75"/>
      <c r="C367" s="18" t="str">
        <f>IF(B367="","",VLOOKUP(B367,'Tabla de proceso'!$B$6:$G$28,2,))</f>
        <v/>
      </c>
      <c r="D367" s="17" t="str">
        <f>IF(B367="","",VLOOKUP(B367,'Tabla de proceso'!$B$5:$G$28,3,0))</f>
        <v/>
      </c>
      <c r="E367" s="13" t="str">
        <f t="shared" si="55"/>
        <v/>
      </c>
      <c r="F367" s="13" t="str">
        <f t="shared" si="56"/>
        <v/>
      </c>
      <c r="G367" s="13" t="str">
        <f t="shared" si="57"/>
        <v/>
      </c>
      <c r="H367" s="13" t="e">
        <f t="shared" si="58"/>
        <v>#VALUE!</v>
      </c>
      <c r="I367" s="47"/>
      <c r="J367" s="16">
        <f t="shared" si="59"/>
        <v>0</v>
      </c>
      <c r="K367" s="45" t="str">
        <f t="shared" si="60"/>
        <v>sábado</v>
      </c>
      <c r="L367" s="48"/>
      <c r="M367" s="50"/>
      <c r="N367" s="52">
        <f t="shared" si="61"/>
        <v>0</v>
      </c>
      <c r="O367" s="52">
        <f t="shared" si="62"/>
        <v>0</v>
      </c>
      <c r="P367" s="53">
        <f t="shared" si="63"/>
        <v>0</v>
      </c>
      <c r="Q367" s="54" t="str">
        <f t="shared" si="64"/>
        <v/>
      </c>
      <c r="R367" s="58" t="str">
        <f t="shared" si="65"/>
        <v/>
      </c>
      <c r="S367" s="51"/>
    </row>
    <row r="368" spans="1:19" s="44" customFormat="1">
      <c r="A368" s="15"/>
      <c r="B368" s="75"/>
      <c r="C368" s="18" t="str">
        <f>IF(B368="","",VLOOKUP(B368,'Tabla de proceso'!$B$6:$G$28,2,))</f>
        <v/>
      </c>
      <c r="D368" s="17" t="str">
        <f>IF(B368="","",VLOOKUP(B368,'Tabla de proceso'!$B$5:$G$28,3,0))</f>
        <v/>
      </c>
      <c r="E368" s="13" t="str">
        <f t="shared" si="55"/>
        <v/>
      </c>
      <c r="F368" s="13" t="str">
        <f t="shared" si="56"/>
        <v/>
      </c>
      <c r="G368" s="13" t="str">
        <f t="shared" si="57"/>
        <v/>
      </c>
      <c r="H368" s="13" t="e">
        <f t="shared" si="58"/>
        <v>#VALUE!</v>
      </c>
      <c r="I368" s="47"/>
      <c r="J368" s="16">
        <f t="shared" si="59"/>
        <v>0</v>
      </c>
      <c r="K368" s="45" t="str">
        <f t="shared" si="60"/>
        <v>sábado</v>
      </c>
      <c r="L368" s="48"/>
      <c r="M368" s="50"/>
      <c r="N368" s="52">
        <f t="shared" si="61"/>
        <v>0</v>
      </c>
      <c r="O368" s="52">
        <f t="shared" si="62"/>
        <v>0</v>
      </c>
      <c r="P368" s="53">
        <f t="shared" si="63"/>
        <v>0</v>
      </c>
      <c r="Q368" s="54" t="str">
        <f t="shared" si="64"/>
        <v/>
      </c>
      <c r="R368" s="58" t="str">
        <f t="shared" si="65"/>
        <v/>
      </c>
      <c r="S368" s="51"/>
    </row>
    <row r="369" spans="1:19" s="44" customFormat="1">
      <c r="A369" s="15"/>
      <c r="B369" s="75"/>
      <c r="C369" s="18" t="str">
        <f>IF(B369="","",VLOOKUP(B369,'Tabla de proceso'!$B$6:$G$28,2,))</f>
        <v/>
      </c>
      <c r="D369" s="17" t="str">
        <f>IF(B369="","",VLOOKUP(B369,'Tabla de proceso'!$B$5:$G$28,3,0))</f>
        <v/>
      </c>
      <c r="E369" s="13" t="str">
        <f t="shared" si="55"/>
        <v/>
      </c>
      <c r="F369" s="13" t="str">
        <f t="shared" si="56"/>
        <v/>
      </c>
      <c r="G369" s="13" t="str">
        <f t="shared" si="57"/>
        <v/>
      </c>
      <c r="H369" s="13" t="e">
        <f t="shared" si="58"/>
        <v>#VALUE!</v>
      </c>
      <c r="I369" s="47"/>
      <c r="J369" s="16">
        <f t="shared" si="59"/>
        <v>0</v>
      </c>
      <c r="K369" s="45" t="str">
        <f t="shared" si="60"/>
        <v>sábado</v>
      </c>
      <c r="L369" s="48"/>
      <c r="M369" s="50"/>
      <c r="N369" s="52">
        <f t="shared" si="61"/>
        <v>0</v>
      </c>
      <c r="O369" s="52">
        <f t="shared" si="62"/>
        <v>0</v>
      </c>
      <c r="P369" s="53">
        <f t="shared" si="63"/>
        <v>0</v>
      </c>
      <c r="Q369" s="54" t="str">
        <f t="shared" si="64"/>
        <v/>
      </c>
      <c r="R369" s="58" t="str">
        <f t="shared" si="65"/>
        <v/>
      </c>
      <c r="S369" s="51"/>
    </row>
    <row r="370" spans="1:19" s="44" customFormat="1">
      <c r="A370" s="15"/>
      <c r="B370" s="75"/>
      <c r="C370" s="18" t="str">
        <f>IF(B370="","",VLOOKUP(B370,'Tabla de proceso'!$B$6:$G$28,2,))</f>
        <v/>
      </c>
      <c r="D370" s="17" t="str">
        <f>IF(B370="","",VLOOKUP(B370,'Tabla de proceso'!$B$5:$G$28,3,0))</f>
        <v/>
      </c>
      <c r="E370" s="13" t="str">
        <f t="shared" si="55"/>
        <v/>
      </c>
      <c r="F370" s="13" t="str">
        <f t="shared" si="56"/>
        <v/>
      </c>
      <c r="G370" s="13" t="str">
        <f t="shared" si="57"/>
        <v/>
      </c>
      <c r="H370" s="13" t="e">
        <f t="shared" si="58"/>
        <v>#VALUE!</v>
      </c>
      <c r="I370" s="47"/>
      <c r="J370" s="16">
        <f t="shared" si="59"/>
        <v>0</v>
      </c>
      <c r="K370" s="45" t="str">
        <f t="shared" si="60"/>
        <v>sábado</v>
      </c>
      <c r="L370" s="48"/>
      <c r="M370" s="50"/>
      <c r="N370" s="52">
        <f t="shared" si="61"/>
        <v>0</v>
      </c>
      <c r="O370" s="52">
        <f t="shared" si="62"/>
        <v>0</v>
      </c>
      <c r="P370" s="53">
        <f t="shared" si="63"/>
        <v>0</v>
      </c>
      <c r="Q370" s="54" t="str">
        <f t="shared" si="64"/>
        <v/>
      </c>
      <c r="R370" s="58" t="str">
        <f t="shared" si="65"/>
        <v/>
      </c>
      <c r="S370" s="51"/>
    </row>
    <row r="371" spans="1:19" s="44" customFormat="1">
      <c r="A371" s="15"/>
      <c r="B371" s="75"/>
      <c r="C371" s="18" t="str">
        <f>IF(B371="","",VLOOKUP(B371,'Tabla de proceso'!$B$6:$G$28,2,))</f>
        <v/>
      </c>
      <c r="D371" s="17" t="str">
        <f>IF(B371="","",VLOOKUP(B371,'Tabla de proceso'!$B$5:$G$28,3,0))</f>
        <v/>
      </c>
      <c r="E371" s="13" t="str">
        <f t="shared" si="55"/>
        <v/>
      </c>
      <c r="F371" s="13" t="str">
        <f t="shared" si="56"/>
        <v/>
      </c>
      <c r="G371" s="13" t="str">
        <f t="shared" si="57"/>
        <v/>
      </c>
      <c r="H371" s="13" t="e">
        <f t="shared" si="58"/>
        <v>#VALUE!</v>
      </c>
      <c r="I371" s="47"/>
      <c r="J371" s="16">
        <f t="shared" si="59"/>
        <v>0</v>
      </c>
      <c r="K371" s="45" t="str">
        <f t="shared" si="60"/>
        <v>sábado</v>
      </c>
      <c r="L371" s="48"/>
      <c r="M371" s="50"/>
      <c r="N371" s="52">
        <f t="shared" si="61"/>
        <v>0</v>
      </c>
      <c r="O371" s="52">
        <f t="shared" si="62"/>
        <v>0</v>
      </c>
      <c r="P371" s="53">
        <f t="shared" si="63"/>
        <v>0</v>
      </c>
      <c r="Q371" s="54" t="str">
        <f t="shared" si="64"/>
        <v/>
      </c>
      <c r="R371" s="58" t="str">
        <f t="shared" si="65"/>
        <v/>
      </c>
      <c r="S371" s="51"/>
    </row>
    <row r="372" spans="1:19" s="44" customFormat="1">
      <c r="A372" s="15"/>
      <c r="B372" s="75"/>
      <c r="C372" s="18" t="str">
        <f>IF(B372="","",VLOOKUP(B372,'Tabla de proceso'!$B$6:$G$28,2,))</f>
        <v/>
      </c>
      <c r="D372" s="17" t="str">
        <f>IF(B372="","",VLOOKUP(B372,'Tabla de proceso'!$B$5:$G$28,3,0))</f>
        <v/>
      </c>
      <c r="E372" s="13" t="str">
        <f t="shared" si="55"/>
        <v/>
      </c>
      <c r="F372" s="13" t="str">
        <f t="shared" si="56"/>
        <v/>
      </c>
      <c r="G372" s="13" t="str">
        <f t="shared" si="57"/>
        <v/>
      </c>
      <c r="H372" s="13" t="e">
        <f t="shared" si="58"/>
        <v>#VALUE!</v>
      </c>
      <c r="I372" s="47"/>
      <c r="J372" s="16">
        <f t="shared" si="59"/>
        <v>0</v>
      </c>
      <c r="K372" s="45" t="str">
        <f t="shared" si="60"/>
        <v>sábado</v>
      </c>
      <c r="L372" s="48"/>
      <c r="M372" s="50"/>
      <c r="N372" s="52">
        <f t="shared" si="61"/>
        <v>0</v>
      </c>
      <c r="O372" s="52">
        <f t="shared" si="62"/>
        <v>0</v>
      </c>
      <c r="P372" s="53">
        <f t="shared" si="63"/>
        <v>0</v>
      </c>
      <c r="Q372" s="54" t="str">
        <f t="shared" si="64"/>
        <v/>
      </c>
      <c r="R372" s="58" t="str">
        <f t="shared" si="65"/>
        <v/>
      </c>
      <c r="S372" s="51"/>
    </row>
    <row r="373" spans="1:19" s="44" customFormat="1">
      <c r="A373" s="15"/>
      <c r="B373" s="75"/>
      <c r="C373" s="18" t="str">
        <f>IF(B373="","",VLOOKUP(B373,'Tabla de proceso'!$B$6:$G$28,2,))</f>
        <v/>
      </c>
      <c r="D373" s="17"/>
      <c r="E373" s="13"/>
      <c r="F373" s="13"/>
      <c r="G373" s="13"/>
      <c r="H373" s="13"/>
      <c r="I373" s="47"/>
      <c r="J373" s="16">
        <f t="shared" si="59"/>
        <v>0</v>
      </c>
      <c r="K373" s="45" t="str">
        <f t="shared" si="60"/>
        <v>sábado</v>
      </c>
      <c r="L373" s="48"/>
      <c r="M373" s="50"/>
      <c r="N373" s="52">
        <f t="shared" si="61"/>
        <v>0</v>
      </c>
      <c r="O373" s="52">
        <f t="shared" si="62"/>
        <v>0</v>
      </c>
      <c r="P373" s="53">
        <f t="shared" si="63"/>
        <v>0</v>
      </c>
      <c r="Q373" s="54" t="str">
        <f t="shared" si="64"/>
        <v/>
      </c>
      <c r="R373" s="58" t="str">
        <f t="shared" si="65"/>
        <v/>
      </c>
      <c r="S373" s="51"/>
    </row>
    <row r="374" spans="1:19" s="44" customFormat="1">
      <c r="A374" s="15"/>
      <c r="B374" s="75"/>
      <c r="C374" s="18" t="str">
        <f>IF(B374="","",VLOOKUP(B374,'Tabla de proceso'!$B$6:$G$28,2,))</f>
        <v/>
      </c>
      <c r="D374" s="17" t="str">
        <f>IF(B374="","",VLOOKUP(B374,'Tabla de proceso'!$B$5:$G$28,3,0))</f>
        <v/>
      </c>
      <c r="E374" s="13" t="str">
        <f t="shared" ref="E374:E385" si="66">D374</f>
        <v/>
      </c>
      <c r="F374" s="13" t="str">
        <f t="shared" ref="F374:F385" si="67">IF(E374="","",+$E374/9)</f>
        <v/>
      </c>
      <c r="G374" s="13" t="str">
        <f t="shared" ref="G374:G385" si="68">IF(E374="","",($E374/60)/9)</f>
        <v/>
      </c>
      <c r="H374" s="13" t="e">
        <f t="shared" ref="H374:H385" si="69">+$E374*5</f>
        <v>#VALUE!</v>
      </c>
      <c r="I374" s="47"/>
      <c r="J374" s="16">
        <f t="shared" si="59"/>
        <v>0</v>
      </c>
      <c r="K374" s="45" t="str">
        <f t="shared" si="60"/>
        <v>sábado</v>
      </c>
      <c r="L374" s="48"/>
      <c r="M374" s="50"/>
      <c r="N374" s="52">
        <f t="shared" si="61"/>
        <v>0</v>
      </c>
      <c r="O374" s="52">
        <f t="shared" si="62"/>
        <v>0</v>
      </c>
      <c r="P374" s="53">
        <f t="shared" si="63"/>
        <v>0</v>
      </c>
      <c r="Q374" s="54" t="str">
        <f t="shared" si="64"/>
        <v/>
      </c>
      <c r="R374" s="58" t="str">
        <f t="shared" si="65"/>
        <v/>
      </c>
      <c r="S374" s="51"/>
    </row>
    <row r="375" spans="1:19" s="44" customFormat="1">
      <c r="A375" s="15"/>
      <c r="B375" s="75"/>
      <c r="C375" s="18" t="str">
        <f>IF(B375="","",VLOOKUP(B375,'Tabla de proceso'!$B$6:$G$28,2,))</f>
        <v/>
      </c>
      <c r="D375" s="17" t="str">
        <f>IF(B375="","",VLOOKUP(B375,'Tabla de proceso'!$B$5:$G$28,3,0))</f>
        <v/>
      </c>
      <c r="E375" s="13" t="str">
        <f t="shared" si="66"/>
        <v/>
      </c>
      <c r="F375" s="13" t="str">
        <f t="shared" si="67"/>
        <v/>
      </c>
      <c r="G375" s="13" t="str">
        <f t="shared" si="68"/>
        <v/>
      </c>
      <c r="H375" s="13" t="e">
        <f t="shared" si="69"/>
        <v>#VALUE!</v>
      </c>
      <c r="I375" s="47"/>
      <c r="J375" s="16">
        <f t="shared" si="59"/>
        <v>0</v>
      </c>
      <c r="K375" s="45" t="str">
        <f t="shared" si="60"/>
        <v>sábado</v>
      </c>
      <c r="L375" s="48"/>
      <c r="M375" s="50"/>
      <c r="N375" s="52">
        <f t="shared" si="61"/>
        <v>0</v>
      </c>
      <c r="O375" s="52">
        <f t="shared" si="62"/>
        <v>0</v>
      </c>
      <c r="P375" s="53">
        <f t="shared" si="63"/>
        <v>0</v>
      </c>
      <c r="Q375" s="54" t="str">
        <f t="shared" si="64"/>
        <v/>
      </c>
      <c r="R375" s="58" t="str">
        <f t="shared" si="65"/>
        <v/>
      </c>
      <c r="S375" s="51"/>
    </row>
    <row r="376" spans="1:19" s="44" customFormat="1">
      <c r="A376" s="15"/>
      <c r="B376" s="75"/>
      <c r="C376" s="18" t="str">
        <f>IF(B376="","",VLOOKUP(B376,'Tabla de proceso'!$B$6:$G$28,2,))</f>
        <v/>
      </c>
      <c r="D376" s="17" t="str">
        <f>IF(B376="","",VLOOKUP(B376,'Tabla de proceso'!$B$5:$G$28,3,0))</f>
        <v/>
      </c>
      <c r="E376" s="13" t="str">
        <f t="shared" si="66"/>
        <v/>
      </c>
      <c r="F376" s="13" t="str">
        <f t="shared" si="67"/>
        <v/>
      </c>
      <c r="G376" s="13" t="str">
        <f t="shared" si="68"/>
        <v/>
      </c>
      <c r="H376" s="13" t="e">
        <f t="shared" si="69"/>
        <v>#VALUE!</v>
      </c>
      <c r="I376" s="47"/>
      <c r="J376" s="16">
        <f t="shared" si="59"/>
        <v>0</v>
      </c>
      <c r="K376" s="45" t="str">
        <f t="shared" si="60"/>
        <v>sábado</v>
      </c>
      <c r="L376" s="48"/>
      <c r="M376" s="50"/>
      <c r="N376" s="52">
        <f t="shared" si="61"/>
        <v>0</v>
      </c>
      <c r="O376" s="52">
        <f t="shared" si="62"/>
        <v>0</v>
      </c>
      <c r="P376" s="53">
        <f t="shared" si="63"/>
        <v>0</v>
      </c>
      <c r="Q376" s="54" t="str">
        <f t="shared" si="64"/>
        <v/>
      </c>
      <c r="R376" s="58" t="str">
        <f t="shared" si="65"/>
        <v/>
      </c>
      <c r="S376" s="51"/>
    </row>
    <row r="377" spans="1:19" s="44" customFormat="1">
      <c r="A377" s="15"/>
      <c r="B377" s="75"/>
      <c r="C377" s="18" t="str">
        <f>IF(B377="","",VLOOKUP(B377,'Tabla de proceso'!$B$6:$G$28,2,))</f>
        <v/>
      </c>
      <c r="D377" s="17" t="str">
        <f>IF(B377="","",VLOOKUP(B377,'Tabla de proceso'!$B$5:$G$28,3,0))</f>
        <v/>
      </c>
      <c r="E377" s="13" t="str">
        <f t="shared" si="66"/>
        <v/>
      </c>
      <c r="F377" s="13" t="str">
        <f t="shared" si="67"/>
        <v/>
      </c>
      <c r="G377" s="13" t="str">
        <f t="shared" si="68"/>
        <v/>
      </c>
      <c r="H377" s="13" t="e">
        <f t="shared" si="69"/>
        <v>#VALUE!</v>
      </c>
      <c r="I377" s="47"/>
      <c r="J377" s="16">
        <f t="shared" si="59"/>
        <v>0</v>
      </c>
      <c r="K377" s="45" t="str">
        <f t="shared" si="60"/>
        <v>sábado</v>
      </c>
      <c r="L377" s="48"/>
      <c r="M377" s="50"/>
      <c r="N377" s="52">
        <f t="shared" si="61"/>
        <v>0</v>
      </c>
      <c r="O377" s="52">
        <f t="shared" si="62"/>
        <v>0</v>
      </c>
      <c r="P377" s="53">
        <f t="shared" si="63"/>
        <v>0</v>
      </c>
      <c r="Q377" s="54" t="str">
        <f t="shared" si="64"/>
        <v/>
      </c>
      <c r="R377" s="58" t="str">
        <f t="shared" si="65"/>
        <v/>
      </c>
      <c r="S377" s="51"/>
    </row>
    <row r="378" spans="1:19" s="44" customFormat="1">
      <c r="A378" s="15"/>
      <c r="B378" s="75"/>
      <c r="C378" s="18" t="str">
        <f>IF(B378="","",VLOOKUP(B378,'Tabla de proceso'!$B$6:$G$28,2,))</f>
        <v/>
      </c>
      <c r="D378" s="17" t="str">
        <f>IF(B378="","",VLOOKUP(B378,'Tabla de proceso'!$B$5:$G$28,3,0))</f>
        <v/>
      </c>
      <c r="E378" s="13" t="str">
        <f t="shared" si="66"/>
        <v/>
      </c>
      <c r="F378" s="13" t="str">
        <f t="shared" si="67"/>
        <v/>
      </c>
      <c r="G378" s="13" t="str">
        <f t="shared" si="68"/>
        <v/>
      </c>
      <c r="H378" s="13" t="e">
        <f t="shared" si="69"/>
        <v>#VALUE!</v>
      </c>
      <c r="I378" s="47"/>
      <c r="J378" s="16">
        <f t="shared" si="59"/>
        <v>0</v>
      </c>
      <c r="K378" s="45" t="str">
        <f t="shared" si="60"/>
        <v>sábado</v>
      </c>
      <c r="L378" s="48"/>
      <c r="M378" s="50"/>
      <c r="N378" s="52">
        <f t="shared" si="61"/>
        <v>0</v>
      </c>
      <c r="O378" s="52">
        <f t="shared" si="62"/>
        <v>0</v>
      </c>
      <c r="P378" s="53">
        <f t="shared" si="63"/>
        <v>0</v>
      </c>
      <c r="Q378" s="54" t="str">
        <f t="shared" si="64"/>
        <v/>
      </c>
      <c r="R378" s="58" t="str">
        <f t="shared" si="65"/>
        <v/>
      </c>
      <c r="S378" s="51"/>
    </row>
    <row r="379" spans="1:19" s="44" customFormat="1">
      <c r="A379" s="15"/>
      <c r="B379" s="75"/>
      <c r="C379" s="18" t="str">
        <f>IF(B379="","",VLOOKUP(B379,'Tabla de proceso'!$B$6:$G$28,2,))</f>
        <v/>
      </c>
      <c r="D379" s="17" t="str">
        <f>IF(B379="","",VLOOKUP(B379,'Tabla de proceso'!$B$5:$G$28,3,0))</f>
        <v/>
      </c>
      <c r="E379" s="13" t="str">
        <f t="shared" si="66"/>
        <v/>
      </c>
      <c r="F379" s="13" t="str">
        <f t="shared" si="67"/>
        <v/>
      </c>
      <c r="G379" s="13" t="str">
        <f t="shared" si="68"/>
        <v/>
      </c>
      <c r="H379" s="13" t="e">
        <f t="shared" si="69"/>
        <v>#VALUE!</v>
      </c>
      <c r="I379" s="47"/>
      <c r="J379" s="16">
        <f t="shared" si="59"/>
        <v>0</v>
      </c>
      <c r="K379" s="45" t="str">
        <f t="shared" si="60"/>
        <v>sábado</v>
      </c>
      <c r="L379" s="48"/>
      <c r="M379" s="50"/>
      <c r="N379" s="52">
        <f t="shared" si="61"/>
        <v>0</v>
      </c>
      <c r="O379" s="52">
        <f t="shared" si="62"/>
        <v>0</v>
      </c>
      <c r="P379" s="53">
        <f t="shared" si="63"/>
        <v>0</v>
      </c>
      <c r="Q379" s="54" t="str">
        <f t="shared" si="64"/>
        <v/>
      </c>
      <c r="R379" s="58" t="str">
        <f t="shared" si="65"/>
        <v/>
      </c>
      <c r="S379" s="51"/>
    </row>
    <row r="380" spans="1:19" s="44" customFormat="1">
      <c r="A380" s="15"/>
      <c r="B380" s="75"/>
      <c r="C380" s="18" t="str">
        <f>IF(B380="","",VLOOKUP(B380,'Tabla de proceso'!$B$6:$G$28,2,))</f>
        <v/>
      </c>
      <c r="D380" s="17" t="str">
        <f>IF(B380="","",VLOOKUP(B380,'Tabla de proceso'!$B$5:$G$28,3,0))</f>
        <v/>
      </c>
      <c r="E380" s="13" t="str">
        <f t="shared" si="66"/>
        <v/>
      </c>
      <c r="F380" s="13" t="str">
        <f t="shared" si="67"/>
        <v/>
      </c>
      <c r="G380" s="13" t="str">
        <f t="shared" si="68"/>
        <v/>
      </c>
      <c r="H380" s="13" t="e">
        <f t="shared" si="69"/>
        <v>#VALUE!</v>
      </c>
      <c r="I380" s="47"/>
      <c r="J380" s="16">
        <f t="shared" si="59"/>
        <v>0</v>
      </c>
      <c r="K380" s="45" t="str">
        <f t="shared" si="60"/>
        <v>sábado</v>
      </c>
      <c r="L380" s="48"/>
      <c r="M380" s="50"/>
      <c r="N380" s="52">
        <f t="shared" si="61"/>
        <v>0</v>
      </c>
      <c r="O380" s="52">
        <f t="shared" si="62"/>
        <v>0</v>
      </c>
      <c r="P380" s="53">
        <f t="shared" si="63"/>
        <v>0</v>
      </c>
      <c r="Q380" s="54" t="str">
        <f t="shared" si="64"/>
        <v/>
      </c>
      <c r="R380" s="58" t="str">
        <f t="shared" si="65"/>
        <v/>
      </c>
      <c r="S380" s="51"/>
    </row>
    <row r="381" spans="1:19" s="44" customFormat="1">
      <c r="A381" s="15"/>
      <c r="B381" s="75"/>
      <c r="C381" s="18" t="str">
        <f>IF(B381="","",VLOOKUP(B381,'Tabla de proceso'!$B$6:$G$28,2,))</f>
        <v/>
      </c>
      <c r="D381" s="17" t="str">
        <f>IF(B381="","",VLOOKUP(B381,'Tabla de proceso'!$B$5:$G$28,3,0))</f>
        <v/>
      </c>
      <c r="E381" s="13" t="str">
        <f t="shared" si="66"/>
        <v/>
      </c>
      <c r="F381" s="13" t="str">
        <f t="shared" si="67"/>
        <v/>
      </c>
      <c r="G381" s="13" t="str">
        <f t="shared" si="68"/>
        <v/>
      </c>
      <c r="H381" s="13" t="e">
        <f t="shared" si="69"/>
        <v>#VALUE!</v>
      </c>
      <c r="I381" s="47"/>
      <c r="J381" s="16">
        <f t="shared" si="59"/>
        <v>0</v>
      </c>
      <c r="K381" s="45" t="str">
        <f t="shared" si="60"/>
        <v>sábado</v>
      </c>
      <c r="L381" s="48"/>
      <c r="M381" s="50"/>
      <c r="N381" s="52">
        <f t="shared" si="61"/>
        <v>0</v>
      </c>
      <c r="O381" s="52">
        <f t="shared" si="62"/>
        <v>0</v>
      </c>
      <c r="P381" s="53">
        <f t="shared" si="63"/>
        <v>0</v>
      </c>
      <c r="Q381" s="54" t="str">
        <f t="shared" si="64"/>
        <v/>
      </c>
      <c r="R381" s="58" t="str">
        <f t="shared" si="65"/>
        <v/>
      </c>
      <c r="S381" s="51"/>
    </row>
    <row r="382" spans="1:19" s="44" customFormat="1">
      <c r="A382" s="15"/>
      <c r="B382" s="75"/>
      <c r="C382" s="18" t="str">
        <f>IF(B382="","",VLOOKUP(B382,'Tabla de proceso'!$B$6:$G$28,2,))</f>
        <v/>
      </c>
      <c r="D382" s="17" t="str">
        <f>IF(B382="","",VLOOKUP(B382,'Tabla de proceso'!$B$5:$G$28,3,0))</f>
        <v/>
      </c>
      <c r="E382" s="13" t="str">
        <f t="shared" si="66"/>
        <v/>
      </c>
      <c r="F382" s="13" t="str">
        <f t="shared" si="67"/>
        <v/>
      </c>
      <c r="G382" s="13" t="str">
        <f t="shared" si="68"/>
        <v/>
      </c>
      <c r="H382" s="13" t="e">
        <f t="shared" si="69"/>
        <v>#VALUE!</v>
      </c>
      <c r="I382" s="47"/>
      <c r="J382" s="16">
        <f t="shared" si="59"/>
        <v>0</v>
      </c>
      <c r="K382" s="45" t="str">
        <f t="shared" si="60"/>
        <v>sábado</v>
      </c>
      <c r="L382" s="48"/>
      <c r="M382" s="50"/>
      <c r="N382" s="52">
        <f t="shared" si="61"/>
        <v>0</v>
      </c>
      <c r="O382" s="52">
        <f t="shared" si="62"/>
        <v>0</v>
      </c>
      <c r="P382" s="53">
        <f t="shared" si="63"/>
        <v>0</v>
      </c>
      <c r="Q382" s="54" t="str">
        <f t="shared" si="64"/>
        <v/>
      </c>
      <c r="R382" s="58" t="str">
        <f t="shared" si="65"/>
        <v/>
      </c>
      <c r="S382" s="51"/>
    </row>
    <row r="383" spans="1:19" s="44" customFormat="1">
      <c r="A383" s="15"/>
      <c r="B383" s="75"/>
      <c r="C383" s="18" t="str">
        <f>IF(B383="","",VLOOKUP(B383,'Tabla de proceso'!$B$6:$G$28,2,))</f>
        <v/>
      </c>
      <c r="D383" s="17" t="str">
        <f>IF(B383="","",VLOOKUP(B383,'Tabla de proceso'!$B$5:$G$28,3,0))</f>
        <v/>
      </c>
      <c r="E383" s="13" t="str">
        <f t="shared" si="66"/>
        <v/>
      </c>
      <c r="F383" s="13" t="str">
        <f t="shared" si="67"/>
        <v/>
      </c>
      <c r="G383" s="13" t="str">
        <f t="shared" si="68"/>
        <v/>
      </c>
      <c r="H383" s="13" t="e">
        <f t="shared" si="69"/>
        <v>#VALUE!</v>
      </c>
      <c r="I383" s="47"/>
      <c r="J383" s="16">
        <f t="shared" si="59"/>
        <v>0</v>
      </c>
      <c r="K383" s="45" t="str">
        <f t="shared" si="60"/>
        <v>sábado</v>
      </c>
      <c r="L383" s="48"/>
      <c r="M383" s="50"/>
      <c r="N383" s="52">
        <f t="shared" si="61"/>
        <v>0</v>
      </c>
      <c r="O383" s="52">
        <f t="shared" si="62"/>
        <v>0</v>
      </c>
      <c r="P383" s="53">
        <f t="shared" si="63"/>
        <v>0</v>
      </c>
      <c r="Q383" s="54" t="str">
        <f t="shared" si="64"/>
        <v/>
      </c>
      <c r="R383" s="58" t="str">
        <f t="shared" si="65"/>
        <v/>
      </c>
      <c r="S383" s="51"/>
    </row>
    <row r="384" spans="1:19" s="44" customFormat="1">
      <c r="A384" s="15"/>
      <c r="B384" s="75"/>
      <c r="C384" s="18" t="str">
        <f>IF(B384="","",VLOOKUP(B384,'Tabla de proceso'!$B$6:$G$28,2,))</f>
        <v/>
      </c>
      <c r="D384" s="17" t="str">
        <f>IF(B384="","",VLOOKUP(B384,'Tabla de proceso'!$B$5:$G$28,3,0))</f>
        <v/>
      </c>
      <c r="E384" s="13" t="str">
        <f t="shared" si="66"/>
        <v/>
      </c>
      <c r="F384" s="13" t="str">
        <f t="shared" si="67"/>
        <v/>
      </c>
      <c r="G384" s="13" t="str">
        <f t="shared" si="68"/>
        <v/>
      </c>
      <c r="H384" s="13" t="e">
        <f t="shared" si="69"/>
        <v>#VALUE!</v>
      </c>
      <c r="I384" s="47"/>
      <c r="J384" s="16">
        <f t="shared" si="59"/>
        <v>0</v>
      </c>
      <c r="K384" s="45" t="str">
        <f t="shared" si="60"/>
        <v>sábado</v>
      </c>
      <c r="L384" s="48"/>
      <c r="M384" s="50"/>
      <c r="N384" s="52">
        <f t="shared" si="61"/>
        <v>0</v>
      </c>
      <c r="O384" s="52">
        <f t="shared" si="62"/>
        <v>0</v>
      </c>
      <c r="P384" s="53">
        <f t="shared" si="63"/>
        <v>0</v>
      </c>
      <c r="Q384" s="54" t="str">
        <f t="shared" si="64"/>
        <v/>
      </c>
      <c r="R384" s="58" t="str">
        <f t="shared" si="65"/>
        <v/>
      </c>
      <c r="S384" s="51"/>
    </row>
    <row r="385" spans="1:19" s="44" customFormat="1">
      <c r="A385" s="15"/>
      <c r="B385" s="75"/>
      <c r="C385" s="18" t="str">
        <f>IF(B385="","",VLOOKUP(B385,'Tabla de proceso'!$B$6:$G$28,2,))</f>
        <v/>
      </c>
      <c r="D385" s="17" t="str">
        <f>IF(B385="","",VLOOKUP(B385,'Tabla de proceso'!$B$5:$G$28,3,0))</f>
        <v/>
      </c>
      <c r="E385" s="13" t="str">
        <f t="shared" si="66"/>
        <v/>
      </c>
      <c r="F385" s="13" t="str">
        <f t="shared" si="67"/>
        <v/>
      </c>
      <c r="G385" s="13" t="str">
        <f t="shared" si="68"/>
        <v/>
      </c>
      <c r="H385" s="13" t="e">
        <f t="shared" si="69"/>
        <v>#VALUE!</v>
      </c>
      <c r="I385" s="47"/>
      <c r="J385" s="16">
        <f t="shared" si="59"/>
        <v>0</v>
      </c>
      <c r="K385" s="45" t="str">
        <f t="shared" si="60"/>
        <v>sábado</v>
      </c>
      <c r="L385" s="48"/>
      <c r="M385" s="50"/>
      <c r="N385" s="52">
        <f t="shared" si="61"/>
        <v>0</v>
      </c>
      <c r="O385" s="52">
        <f t="shared" si="62"/>
        <v>0</v>
      </c>
      <c r="P385" s="53">
        <f t="shared" si="63"/>
        <v>0</v>
      </c>
      <c r="Q385" s="54" t="str">
        <f t="shared" si="64"/>
        <v/>
      </c>
      <c r="R385" s="58" t="str">
        <f t="shared" si="65"/>
        <v/>
      </c>
      <c r="S385" s="51"/>
    </row>
    <row r="386" spans="1:19" s="44" customFormat="1">
      <c r="A386" s="15"/>
      <c r="B386" s="75"/>
      <c r="C386" s="18" t="str">
        <f>IF(B386="","",VLOOKUP(B386,'Tabla de proceso'!$B$6:$G$28,2,))</f>
        <v/>
      </c>
      <c r="D386" s="17"/>
      <c r="E386" s="13"/>
      <c r="F386" s="13"/>
      <c r="G386" s="13"/>
      <c r="H386" s="13"/>
      <c r="I386" s="47"/>
      <c r="J386" s="16">
        <f t="shared" si="59"/>
        <v>0</v>
      </c>
      <c r="K386" s="45" t="str">
        <f t="shared" si="60"/>
        <v>sábado</v>
      </c>
      <c r="L386" s="48"/>
      <c r="M386" s="50"/>
      <c r="N386" s="52">
        <f t="shared" si="61"/>
        <v>0</v>
      </c>
      <c r="O386" s="52">
        <f t="shared" si="62"/>
        <v>0</v>
      </c>
      <c r="P386" s="53">
        <f t="shared" si="63"/>
        <v>0</v>
      </c>
      <c r="Q386" s="54" t="str">
        <f t="shared" si="64"/>
        <v/>
      </c>
      <c r="R386" s="58" t="str">
        <f t="shared" si="65"/>
        <v/>
      </c>
      <c r="S386" s="51"/>
    </row>
    <row r="387" spans="1:19" s="44" customFormat="1">
      <c r="A387" s="15"/>
      <c r="B387" s="75"/>
      <c r="C387" s="18" t="str">
        <f>IF(B387="","",VLOOKUP(B387,'Tabla de proceso'!$B$6:$G$28,2,))</f>
        <v/>
      </c>
      <c r="D387" s="17" t="str">
        <f>IF(B387="","",VLOOKUP(B387,'Tabla de proceso'!$B$5:$G$28,3,0))</f>
        <v/>
      </c>
      <c r="E387" s="13" t="str">
        <f t="shared" ref="E387:E418" si="70">D387</f>
        <v/>
      </c>
      <c r="F387" s="13" t="str">
        <f t="shared" ref="F387:F418" si="71">IF(E387="","",+$E387/9)</f>
        <v/>
      </c>
      <c r="G387" s="13" t="str">
        <f t="shared" ref="G387:G418" si="72">IF(E387="","",($E387/60)/9)</f>
        <v/>
      </c>
      <c r="H387" s="13" t="e">
        <f t="shared" ref="H387:H418" si="73">+$E387*5</f>
        <v>#VALUE!</v>
      </c>
      <c r="I387" s="47"/>
      <c r="J387" s="16">
        <f t="shared" si="59"/>
        <v>0</v>
      </c>
      <c r="K387" s="45" t="str">
        <f t="shared" si="60"/>
        <v>sábado</v>
      </c>
      <c r="L387" s="48"/>
      <c r="M387" s="50"/>
      <c r="N387" s="52">
        <f t="shared" si="61"/>
        <v>0</v>
      </c>
      <c r="O387" s="52">
        <f t="shared" si="62"/>
        <v>0</v>
      </c>
      <c r="P387" s="53">
        <f t="shared" si="63"/>
        <v>0</v>
      </c>
      <c r="Q387" s="54" t="str">
        <f t="shared" si="64"/>
        <v/>
      </c>
      <c r="R387" s="58" t="str">
        <f t="shared" si="65"/>
        <v/>
      </c>
      <c r="S387" s="51"/>
    </row>
    <row r="388" spans="1:19" s="44" customFormat="1">
      <c r="A388" s="15"/>
      <c r="B388" s="75"/>
      <c r="C388" s="18" t="str">
        <f>IF(B388="","",VLOOKUP(B388,'Tabla de proceso'!$B$6:$G$28,2,))</f>
        <v/>
      </c>
      <c r="D388" s="17" t="str">
        <f>IF(B388="","",VLOOKUP(B388,'Tabla de proceso'!$B$5:$G$28,3,0))</f>
        <v/>
      </c>
      <c r="E388" s="13" t="str">
        <f t="shared" si="70"/>
        <v/>
      </c>
      <c r="F388" s="13" t="str">
        <f t="shared" si="71"/>
        <v/>
      </c>
      <c r="G388" s="13" t="str">
        <f t="shared" si="72"/>
        <v/>
      </c>
      <c r="H388" s="13" t="e">
        <f t="shared" si="73"/>
        <v>#VALUE!</v>
      </c>
      <c r="I388" s="47"/>
      <c r="J388" s="16">
        <f t="shared" si="59"/>
        <v>0</v>
      </c>
      <c r="K388" s="45" t="str">
        <f t="shared" si="60"/>
        <v>sábado</v>
      </c>
      <c r="L388" s="48"/>
      <c r="M388" s="50"/>
      <c r="N388" s="52">
        <f t="shared" si="61"/>
        <v>0</v>
      </c>
      <c r="O388" s="52">
        <f t="shared" si="62"/>
        <v>0</v>
      </c>
      <c r="P388" s="53">
        <f t="shared" si="63"/>
        <v>0</v>
      </c>
      <c r="Q388" s="54" t="str">
        <f t="shared" si="64"/>
        <v/>
      </c>
      <c r="R388" s="58" t="str">
        <f t="shared" si="65"/>
        <v/>
      </c>
      <c r="S388" s="51"/>
    </row>
    <row r="389" spans="1:19" s="44" customFormat="1">
      <c r="A389" s="15"/>
      <c r="B389" s="75"/>
      <c r="C389" s="18" t="str">
        <f>IF(B389="","",VLOOKUP(B389,'Tabla de proceso'!$B$6:$G$28,2,))</f>
        <v/>
      </c>
      <c r="D389" s="17" t="str">
        <f>IF(B389="","",VLOOKUP(B389,'Tabla de proceso'!$B$5:$G$28,3,0))</f>
        <v/>
      </c>
      <c r="E389" s="13" t="str">
        <f t="shared" si="70"/>
        <v/>
      </c>
      <c r="F389" s="13" t="str">
        <f t="shared" si="71"/>
        <v/>
      </c>
      <c r="G389" s="13" t="str">
        <f t="shared" si="72"/>
        <v/>
      </c>
      <c r="H389" s="13" t="e">
        <f t="shared" si="73"/>
        <v>#VALUE!</v>
      </c>
      <c r="I389" s="47"/>
      <c r="J389" s="16">
        <f t="shared" si="59"/>
        <v>0</v>
      </c>
      <c r="K389" s="45" t="str">
        <f t="shared" si="60"/>
        <v>sábado</v>
      </c>
      <c r="L389" s="48"/>
      <c r="M389" s="50"/>
      <c r="N389" s="52">
        <f t="shared" si="61"/>
        <v>0</v>
      </c>
      <c r="O389" s="52">
        <f t="shared" si="62"/>
        <v>0</v>
      </c>
      <c r="P389" s="53">
        <f t="shared" si="63"/>
        <v>0</v>
      </c>
      <c r="Q389" s="54" t="str">
        <f t="shared" si="64"/>
        <v/>
      </c>
      <c r="R389" s="58" t="str">
        <f t="shared" si="65"/>
        <v/>
      </c>
      <c r="S389" s="51"/>
    </row>
    <row r="390" spans="1:19" s="44" customFormat="1">
      <c r="A390" s="15"/>
      <c r="B390" s="75"/>
      <c r="C390" s="18" t="str">
        <f>IF(B390="","",VLOOKUP(B390,'Tabla de proceso'!$B$6:$G$28,2,))</f>
        <v/>
      </c>
      <c r="D390" s="17" t="str">
        <f>IF(B390="","",VLOOKUP(B390,'Tabla de proceso'!$B$5:$G$28,3,0))</f>
        <v/>
      </c>
      <c r="E390" s="13" t="str">
        <f t="shared" si="70"/>
        <v/>
      </c>
      <c r="F390" s="13" t="str">
        <f t="shared" si="71"/>
        <v/>
      </c>
      <c r="G390" s="13" t="str">
        <f t="shared" si="72"/>
        <v/>
      </c>
      <c r="H390" s="13" t="e">
        <f t="shared" si="73"/>
        <v>#VALUE!</v>
      </c>
      <c r="I390" s="47"/>
      <c r="J390" s="16">
        <f t="shared" ref="J390:J453" si="74">+WEEKNUM(I390)</f>
        <v>0</v>
      </c>
      <c r="K390" s="45" t="str">
        <f t="shared" ref="K390:K453" si="75">+TEXT($I390,"dddd")</f>
        <v>sábado</v>
      </c>
      <c r="L390" s="48"/>
      <c r="M390" s="50"/>
      <c r="N390" s="52">
        <f t="shared" ref="N390:N453" si="76">+HOUR($M390)</f>
        <v>0</v>
      </c>
      <c r="O390" s="52">
        <f t="shared" ref="O390:O453" si="77">+MINUTE($M390)</f>
        <v>0</v>
      </c>
      <c r="P390" s="53">
        <f t="shared" ref="P390:P453" si="78">+($N390*60)+$O390</f>
        <v>0</v>
      </c>
      <c r="Q390" s="54" t="str">
        <f t="shared" ref="Q390:Q453" si="79">IF(G390="","",+$G390*$P390)</f>
        <v/>
      </c>
      <c r="R390" s="58" t="str">
        <f t="shared" ref="R390:R453" si="80">IF($Q390="","",$L390/$Q390)</f>
        <v/>
      </c>
      <c r="S390" s="51"/>
    </row>
    <row r="391" spans="1:19" s="44" customFormat="1">
      <c r="A391" s="15"/>
      <c r="B391" s="75"/>
      <c r="C391" s="18" t="str">
        <f>IF(B391="","",VLOOKUP(B391,'Tabla de proceso'!$B$6:$G$28,2,))</f>
        <v/>
      </c>
      <c r="D391" s="17" t="str">
        <f>IF(B391="","",VLOOKUP(B391,'Tabla de proceso'!$B$5:$G$28,3,0))</f>
        <v/>
      </c>
      <c r="E391" s="13" t="str">
        <f t="shared" si="70"/>
        <v/>
      </c>
      <c r="F391" s="13" t="str">
        <f t="shared" si="71"/>
        <v/>
      </c>
      <c r="G391" s="13" t="str">
        <f t="shared" si="72"/>
        <v/>
      </c>
      <c r="H391" s="13" t="e">
        <f t="shared" si="73"/>
        <v>#VALUE!</v>
      </c>
      <c r="I391" s="47"/>
      <c r="J391" s="16">
        <f t="shared" si="74"/>
        <v>0</v>
      </c>
      <c r="K391" s="45" t="str">
        <f t="shared" si="75"/>
        <v>sábado</v>
      </c>
      <c r="L391" s="48"/>
      <c r="M391" s="50"/>
      <c r="N391" s="52">
        <f t="shared" si="76"/>
        <v>0</v>
      </c>
      <c r="O391" s="52">
        <f t="shared" si="77"/>
        <v>0</v>
      </c>
      <c r="P391" s="53">
        <f t="shared" si="78"/>
        <v>0</v>
      </c>
      <c r="Q391" s="54" t="str">
        <f t="shared" si="79"/>
        <v/>
      </c>
      <c r="R391" s="58" t="str">
        <f t="shared" si="80"/>
        <v/>
      </c>
      <c r="S391" s="51"/>
    </row>
    <row r="392" spans="1:19" s="44" customFormat="1">
      <c r="A392" s="15"/>
      <c r="B392" s="75"/>
      <c r="C392" s="18" t="str">
        <f>IF(B392="","",VLOOKUP(B392,'Tabla de proceso'!$B$6:$G$28,2,))</f>
        <v/>
      </c>
      <c r="D392" s="17" t="str">
        <f>IF(B392="","",VLOOKUP(B392,'Tabla de proceso'!$B$5:$G$28,3,0))</f>
        <v/>
      </c>
      <c r="E392" s="13" t="str">
        <f t="shared" si="70"/>
        <v/>
      </c>
      <c r="F392" s="13" t="str">
        <f t="shared" si="71"/>
        <v/>
      </c>
      <c r="G392" s="13" t="str">
        <f t="shared" si="72"/>
        <v/>
      </c>
      <c r="H392" s="13" t="e">
        <f t="shared" si="73"/>
        <v>#VALUE!</v>
      </c>
      <c r="I392" s="47"/>
      <c r="J392" s="16">
        <f t="shared" si="74"/>
        <v>0</v>
      </c>
      <c r="K392" s="45" t="str">
        <f t="shared" si="75"/>
        <v>sábado</v>
      </c>
      <c r="L392" s="48"/>
      <c r="M392" s="50"/>
      <c r="N392" s="52">
        <f t="shared" si="76"/>
        <v>0</v>
      </c>
      <c r="O392" s="52">
        <f t="shared" si="77"/>
        <v>0</v>
      </c>
      <c r="P392" s="53">
        <f t="shared" si="78"/>
        <v>0</v>
      </c>
      <c r="Q392" s="54" t="str">
        <f t="shared" si="79"/>
        <v/>
      </c>
      <c r="R392" s="58" t="str">
        <f t="shared" si="80"/>
        <v/>
      </c>
      <c r="S392" s="51"/>
    </row>
    <row r="393" spans="1:19" s="44" customFormat="1">
      <c r="A393" s="15"/>
      <c r="B393" s="75"/>
      <c r="C393" s="18" t="str">
        <f>IF(B393="","",VLOOKUP(B393,'Tabla de proceso'!$B$6:$G$28,2,))</f>
        <v/>
      </c>
      <c r="D393" s="17" t="str">
        <f>IF(B393="","",VLOOKUP(B393,'Tabla de proceso'!$B$5:$G$28,3,0))</f>
        <v/>
      </c>
      <c r="E393" s="13" t="str">
        <f t="shared" si="70"/>
        <v/>
      </c>
      <c r="F393" s="13" t="str">
        <f t="shared" si="71"/>
        <v/>
      </c>
      <c r="G393" s="13" t="str">
        <f t="shared" si="72"/>
        <v/>
      </c>
      <c r="H393" s="13" t="e">
        <f t="shared" si="73"/>
        <v>#VALUE!</v>
      </c>
      <c r="I393" s="47"/>
      <c r="J393" s="16">
        <f t="shared" si="74"/>
        <v>0</v>
      </c>
      <c r="K393" s="45" t="str">
        <f t="shared" si="75"/>
        <v>sábado</v>
      </c>
      <c r="L393" s="48"/>
      <c r="M393" s="50"/>
      <c r="N393" s="52">
        <f t="shared" si="76"/>
        <v>0</v>
      </c>
      <c r="O393" s="52">
        <f t="shared" si="77"/>
        <v>0</v>
      </c>
      <c r="P393" s="53">
        <f t="shared" si="78"/>
        <v>0</v>
      </c>
      <c r="Q393" s="54" t="str">
        <f t="shared" si="79"/>
        <v/>
      </c>
      <c r="R393" s="58" t="str">
        <f t="shared" si="80"/>
        <v/>
      </c>
      <c r="S393" s="51"/>
    </row>
    <row r="394" spans="1:19" s="44" customFormat="1">
      <c r="A394" s="15"/>
      <c r="B394" s="75"/>
      <c r="C394" s="18" t="str">
        <f>IF(B394="","",VLOOKUP(B394,'Tabla de proceso'!$B$6:$G$28,2,))</f>
        <v/>
      </c>
      <c r="D394" s="17" t="str">
        <f>IF(B394="","",VLOOKUP(B394,'Tabla de proceso'!$B$5:$G$28,3,0))</f>
        <v/>
      </c>
      <c r="E394" s="13" t="str">
        <f t="shared" si="70"/>
        <v/>
      </c>
      <c r="F394" s="13" t="str">
        <f t="shared" si="71"/>
        <v/>
      </c>
      <c r="G394" s="13" t="str">
        <f t="shared" si="72"/>
        <v/>
      </c>
      <c r="H394" s="13" t="e">
        <f t="shared" si="73"/>
        <v>#VALUE!</v>
      </c>
      <c r="I394" s="47"/>
      <c r="J394" s="16">
        <f t="shared" si="74"/>
        <v>0</v>
      </c>
      <c r="K394" s="45" t="str">
        <f t="shared" si="75"/>
        <v>sábado</v>
      </c>
      <c r="L394" s="48"/>
      <c r="M394" s="50"/>
      <c r="N394" s="52">
        <f t="shared" si="76"/>
        <v>0</v>
      </c>
      <c r="O394" s="52">
        <f t="shared" si="77"/>
        <v>0</v>
      </c>
      <c r="P394" s="53">
        <f t="shared" si="78"/>
        <v>0</v>
      </c>
      <c r="Q394" s="54" t="str">
        <f t="shared" si="79"/>
        <v/>
      </c>
      <c r="R394" s="58" t="str">
        <f t="shared" si="80"/>
        <v/>
      </c>
      <c r="S394" s="51"/>
    </row>
    <row r="395" spans="1:19" s="44" customFormat="1">
      <c r="A395" s="15"/>
      <c r="B395" s="75"/>
      <c r="C395" s="18" t="str">
        <f>IF(B395="","",VLOOKUP(B395,'Tabla de proceso'!$B$6:$G$28,2,))</f>
        <v/>
      </c>
      <c r="D395" s="17" t="str">
        <f>IF(B395="","",VLOOKUP(B395,'Tabla de proceso'!$B$5:$G$28,3,0))</f>
        <v/>
      </c>
      <c r="E395" s="13" t="str">
        <f t="shared" si="70"/>
        <v/>
      </c>
      <c r="F395" s="13" t="str">
        <f t="shared" si="71"/>
        <v/>
      </c>
      <c r="G395" s="13" t="str">
        <f t="shared" si="72"/>
        <v/>
      </c>
      <c r="H395" s="13" t="e">
        <f t="shared" si="73"/>
        <v>#VALUE!</v>
      </c>
      <c r="I395" s="47"/>
      <c r="J395" s="16">
        <f t="shared" si="74"/>
        <v>0</v>
      </c>
      <c r="K395" s="45" t="str">
        <f t="shared" si="75"/>
        <v>sábado</v>
      </c>
      <c r="L395" s="48"/>
      <c r="M395" s="50"/>
      <c r="N395" s="52">
        <f t="shared" si="76"/>
        <v>0</v>
      </c>
      <c r="O395" s="52">
        <f t="shared" si="77"/>
        <v>0</v>
      </c>
      <c r="P395" s="53">
        <f t="shared" si="78"/>
        <v>0</v>
      </c>
      <c r="Q395" s="54" t="str">
        <f t="shared" si="79"/>
        <v/>
      </c>
      <c r="R395" s="58" t="str">
        <f t="shared" si="80"/>
        <v/>
      </c>
      <c r="S395" s="51"/>
    </row>
    <row r="396" spans="1:19" s="44" customFormat="1">
      <c r="A396" s="15"/>
      <c r="B396" s="75"/>
      <c r="C396" s="18" t="str">
        <f>IF(B396="","",VLOOKUP(B396,'Tabla de proceso'!$B$6:$G$28,2,))</f>
        <v/>
      </c>
      <c r="D396" s="17" t="str">
        <f>IF(B396="","",VLOOKUP(B396,'Tabla de proceso'!$B$5:$G$28,3,0))</f>
        <v/>
      </c>
      <c r="E396" s="13" t="str">
        <f t="shared" si="70"/>
        <v/>
      </c>
      <c r="F396" s="13" t="str">
        <f t="shared" si="71"/>
        <v/>
      </c>
      <c r="G396" s="13" t="str">
        <f t="shared" si="72"/>
        <v/>
      </c>
      <c r="H396" s="13" t="e">
        <f t="shared" si="73"/>
        <v>#VALUE!</v>
      </c>
      <c r="I396" s="47"/>
      <c r="J396" s="16">
        <f t="shared" si="74"/>
        <v>0</v>
      </c>
      <c r="K396" s="45" t="str">
        <f t="shared" si="75"/>
        <v>sábado</v>
      </c>
      <c r="L396" s="48"/>
      <c r="M396" s="50"/>
      <c r="N396" s="52">
        <f t="shared" si="76"/>
        <v>0</v>
      </c>
      <c r="O396" s="52">
        <f t="shared" si="77"/>
        <v>0</v>
      </c>
      <c r="P396" s="53">
        <f t="shared" si="78"/>
        <v>0</v>
      </c>
      <c r="Q396" s="54" t="str">
        <f t="shared" si="79"/>
        <v/>
      </c>
      <c r="R396" s="58" t="str">
        <f t="shared" si="80"/>
        <v/>
      </c>
      <c r="S396" s="51"/>
    </row>
    <row r="397" spans="1:19" s="44" customFormat="1">
      <c r="A397" s="15"/>
      <c r="B397" s="75"/>
      <c r="C397" s="18" t="str">
        <f>IF(B397="","",VLOOKUP(B397,'Tabla de proceso'!$B$6:$G$28,2,))</f>
        <v/>
      </c>
      <c r="D397" s="17" t="str">
        <f>IF(B397="","",VLOOKUP(B397,'Tabla de proceso'!$B$5:$G$28,3,0))</f>
        <v/>
      </c>
      <c r="E397" s="13" t="str">
        <f t="shared" si="70"/>
        <v/>
      </c>
      <c r="F397" s="13" t="str">
        <f t="shared" si="71"/>
        <v/>
      </c>
      <c r="G397" s="13" t="str">
        <f t="shared" si="72"/>
        <v/>
      </c>
      <c r="H397" s="13" t="e">
        <f t="shared" si="73"/>
        <v>#VALUE!</v>
      </c>
      <c r="I397" s="47"/>
      <c r="J397" s="16">
        <f t="shared" si="74"/>
        <v>0</v>
      </c>
      <c r="K397" s="45" t="str">
        <f t="shared" si="75"/>
        <v>sábado</v>
      </c>
      <c r="L397" s="48"/>
      <c r="M397" s="50"/>
      <c r="N397" s="52">
        <f t="shared" si="76"/>
        <v>0</v>
      </c>
      <c r="O397" s="52">
        <f t="shared" si="77"/>
        <v>0</v>
      </c>
      <c r="P397" s="53">
        <f t="shared" si="78"/>
        <v>0</v>
      </c>
      <c r="Q397" s="54" t="str">
        <f t="shared" si="79"/>
        <v/>
      </c>
      <c r="R397" s="58" t="str">
        <f t="shared" si="80"/>
        <v/>
      </c>
      <c r="S397" s="51"/>
    </row>
    <row r="398" spans="1:19" s="44" customFormat="1">
      <c r="A398" s="15"/>
      <c r="B398" s="75"/>
      <c r="C398" s="18" t="str">
        <f>IF(B398="","",VLOOKUP(B398,'Tabla de proceso'!$B$6:$G$28,2,))</f>
        <v/>
      </c>
      <c r="D398" s="17" t="str">
        <f>IF(B398="","",VLOOKUP(B398,'Tabla de proceso'!$B$5:$G$28,3,0))</f>
        <v/>
      </c>
      <c r="E398" s="13" t="str">
        <f t="shared" si="70"/>
        <v/>
      </c>
      <c r="F398" s="13" t="str">
        <f t="shared" si="71"/>
        <v/>
      </c>
      <c r="G398" s="13" t="str">
        <f t="shared" si="72"/>
        <v/>
      </c>
      <c r="H398" s="13" t="e">
        <f t="shared" si="73"/>
        <v>#VALUE!</v>
      </c>
      <c r="I398" s="47"/>
      <c r="J398" s="16">
        <f t="shared" si="74"/>
        <v>0</v>
      </c>
      <c r="K398" s="45" t="str">
        <f t="shared" si="75"/>
        <v>sábado</v>
      </c>
      <c r="L398" s="48"/>
      <c r="M398" s="50"/>
      <c r="N398" s="52">
        <f t="shared" si="76"/>
        <v>0</v>
      </c>
      <c r="O398" s="52">
        <f t="shared" si="77"/>
        <v>0</v>
      </c>
      <c r="P398" s="53">
        <f t="shared" si="78"/>
        <v>0</v>
      </c>
      <c r="Q398" s="54" t="str">
        <f t="shared" si="79"/>
        <v/>
      </c>
      <c r="R398" s="58" t="str">
        <f t="shared" si="80"/>
        <v/>
      </c>
      <c r="S398" s="51"/>
    </row>
    <row r="399" spans="1:19" s="44" customFormat="1">
      <c r="A399" s="15"/>
      <c r="B399" s="75"/>
      <c r="C399" s="18" t="str">
        <f>IF(B399="","",VLOOKUP(B399,'Tabla de proceso'!$B$6:$G$28,2,))</f>
        <v/>
      </c>
      <c r="D399" s="17" t="str">
        <f>IF(B399="","",VLOOKUP(B399,'Tabla de proceso'!$B$5:$G$28,3,0))</f>
        <v/>
      </c>
      <c r="E399" s="13" t="str">
        <f t="shared" si="70"/>
        <v/>
      </c>
      <c r="F399" s="13" t="str">
        <f t="shared" si="71"/>
        <v/>
      </c>
      <c r="G399" s="13" t="str">
        <f t="shared" si="72"/>
        <v/>
      </c>
      <c r="H399" s="13" t="e">
        <f t="shared" si="73"/>
        <v>#VALUE!</v>
      </c>
      <c r="I399" s="47"/>
      <c r="J399" s="16">
        <f t="shared" si="74"/>
        <v>0</v>
      </c>
      <c r="K399" s="45" t="str">
        <f t="shared" si="75"/>
        <v>sábado</v>
      </c>
      <c r="L399" s="48"/>
      <c r="M399" s="50"/>
      <c r="N399" s="52">
        <f t="shared" si="76"/>
        <v>0</v>
      </c>
      <c r="O399" s="52">
        <f t="shared" si="77"/>
        <v>0</v>
      </c>
      <c r="P399" s="53">
        <f t="shared" si="78"/>
        <v>0</v>
      </c>
      <c r="Q399" s="54" t="str">
        <f t="shared" si="79"/>
        <v/>
      </c>
      <c r="R399" s="58" t="str">
        <f t="shared" si="80"/>
        <v/>
      </c>
      <c r="S399" s="51"/>
    </row>
    <row r="400" spans="1:19" s="44" customFormat="1">
      <c r="A400" s="15"/>
      <c r="B400" s="75"/>
      <c r="C400" s="18" t="str">
        <f>IF(B400="","",VLOOKUP(B400,'Tabla de proceso'!$B$6:$G$28,2,))</f>
        <v/>
      </c>
      <c r="D400" s="17" t="str">
        <f>IF(B400="","",VLOOKUP(B400,'Tabla de proceso'!$B$5:$G$28,3,0))</f>
        <v/>
      </c>
      <c r="E400" s="13" t="str">
        <f t="shared" si="70"/>
        <v/>
      </c>
      <c r="F400" s="13" t="str">
        <f t="shared" si="71"/>
        <v/>
      </c>
      <c r="G400" s="13" t="str">
        <f t="shared" si="72"/>
        <v/>
      </c>
      <c r="H400" s="13" t="e">
        <f t="shared" si="73"/>
        <v>#VALUE!</v>
      </c>
      <c r="I400" s="47"/>
      <c r="J400" s="16">
        <f t="shared" si="74"/>
        <v>0</v>
      </c>
      <c r="K400" s="45" t="str">
        <f t="shared" si="75"/>
        <v>sábado</v>
      </c>
      <c r="L400" s="49"/>
      <c r="M400" s="50"/>
      <c r="N400" s="52">
        <f t="shared" si="76"/>
        <v>0</v>
      </c>
      <c r="O400" s="52">
        <f t="shared" si="77"/>
        <v>0</v>
      </c>
      <c r="P400" s="53">
        <f t="shared" si="78"/>
        <v>0</v>
      </c>
      <c r="Q400" s="54" t="str">
        <f t="shared" si="79"/>
        <v/>
      </c>
      <c r="R400" s="58" t="str">
        <f t="shared" si="80"/>
        <v/>
      </c>
      <c r="S400" s="51"/>
    </row>
    <row r="401" spans="1:19" s="44" customFormat="1">
      <c r="A401" s="15"/>
      <c r="B401" s="75"/>
      <c r="C401" s="18" t="str">
        <f>IF(B401="","",VLOOKUP(B401,'Tabla de proceso'!$B$6:$G$28,2,))</f>
        <v/>
      </c>
      <c r="D401" s="17" t="str">
        <f>IF(B401="","",VLOOKUP(B401,'Tabla de proceso'!$B$5:$G$28,3,0))</f>
        <v/>
      </c>
      <c r="E401" s="13" t="str">
        <f t="shared" si="70"/>
        <v/>
      </c>
      <c r="F401" s="13" t="str">
        <f t="shared" si="71"/>
        <v/>
      </c>
      <c r="G401" s="13" t="str">
        <f t="shared" si="72"/>
        <v/>
      </c>
      <c r="H401" s="13" t="e">
        <f t="shared" si="73"/>
        <v>#VALUE!</v>
      </c>
      <c r="I401" s="47"/>
      <c r="J401" s="16">
        <f t="shared" si="74"/>
        <v>0</v>
      </c>
      <c r="K401" s="45" t="str">
        <f t="shared" si="75"/>
        <v>sábado</v>
      </c>
      <c r="L401" s="48"/>
      <c r="M401" s="50"/>
      <c r="N401" s="52">
        <f t="shared" si="76"/>
        <v>0</v>
      </c>
      <c r="O401" s="52">
        <f t="shared" si="77"/>
        <v>0</v>
      </c>
      <c r="P401" s="53">
        <f t="shared" si="78"/>
        <v>0</v>
      </c>
      <c r="Q401" s="54" t="str">
        <f t="shared" si="79"/>
        <v/>
      </c>
      <c r="R401" s="58" t="str">
        <f t="shared" si="80"/>
        <v/>
      </c>
      <c r="S401" s="51"/>
    </row>
    <row r="402" spans="1:19" s="44" customFormat="1">
      <c r="A402" s="15"/>
      <c r="B402" s="75"/>
      <c r="C402" s="18" t="str">
        <f>IF(B402="","",VLOOKUP(B402,'Tabla de proceso'!$B$6:$G$28,2,))</f>
        <v/>
      </c>
      <c r="D402" s="17" t="str">
        <f>IF(B402="","",VLOOKUP(B402,'Tabla de proceso'!$B$5:$G$28,3,0))</f>
        <v/>
      </c>
      <c r="E402" s="13" t="str">
        <f t="shared" si="70"/>
        <v/>
      </c>
      <c r="F402" s="13" t="str">
        <f t="shared" si="71"/>
        <v/>
      </c>
      <c r="G402" s="13" t="str">
        <f t="shared" si="72"/>
        <v/>
      </c>
      <c r="H402" s="13" t="e">
        <f t="shared" si="73"/>
        <v>#VALUE!</v>
      </c>
      <c r="I402" s="47"/>
      <c r="J402" s="16">
        <f t="shared" si="74"/>
        <v>0</v>
      </c>
      <c r="K402" s="45" t="str">
        <f t="shared" si="75"/>
        <v>sábado</v>
      </c>
      <c r="L402" s="48"/>
      <c r="M402" s="50"/>
      <c r="N402" s="52">
        <f t="shared" si="76"/>
        <v>0</v>
      </c>
      <c r="O402" s="52">
        <f t="shared" si="77"/>
        <v>0</v>
      </c>
      <c r="P402" s="53">
        <f t="shared" si="78"/>
        <v>0</v>
      </c>
      <c r="Q402" s="54" t="str">
        <f t="shared" si="79"/>
        <v/>
      </c>
      <c r="R402" s="58" t="str">
        <f t="shared" si="80"/>
        <v/>
      </c>
      <c r="S402" s="51"/>
    </row>
    <row r="403" spans="1:19" s="44" customFormat="1">
      <c r="A403" s="15"/>
      <c r="B403" s="75"/>
      <c r="C403" s="18" t="str">
        <f>IF(B403="","",VLOOKUP(B403,'Tabla de proceso'!$B$6:$G$28,2,))</f>
        <v/>
      </c>
      <c r="D403" s="17" t="str">
        <f>IF(B403="","",VLOOKUP(B403,'Tabla de proceso'!$B$5:$G$28,3,0))</f>
        <v/>
      </c>
      <c r="E403" s="13" t="str">
        <f t="shared" si="70"/>
        <v/>
      </c>
      <c r="F403" s="13" t="str">
        <f t="shared" si="71"/>
        <v/>
      </c>
      <c r="G403" s="13" t="str">
        <f t="shared" si="72"/>
        <v/>
      </c>
      <c r="H403" s="13" t="e">
        <f t="shared" si="73"/>
        <v>#VALUE!</v>
      </c>
      <c r="I403" s="47"/>
      <c r="J403" s="16">
        <f t="shared" si="74"/>
        <v>0</v>
      </c>
      <c r="K403" s="45" t="str">
        <f t="shared" si="75"/>
        <v>sábado</v>
      </c>
      <c r="L403" s="48"/>
      <c r="M403" s="50"/>
      <c r="N403" s="52">
        <f t="shared" si="76"/>
        <v>0</v>
      </c>
      <c r="O403" s="52">
        <f t="shared" si="77"/>
        <v>0</v>
      </c>
      <c r="P403" s="53">
        <f t="shared" si="78"/>
        <v>0</v>
      </c>
      <c r="Q403" s="54" t="str">
        <f t="shared" si="79"/>
        <v/>
      </c>
      <c r="R403" s="58" t="str">
        <f t="shared" si="80"/>
        <v/>
      </c>
      <c r="S403" s="51"/>
    </row>
    <row r="404" spans="1:19" s="44" customFormat="1">
      <c r="A404" s="15"/>
      <c r="B404" s="75"/>
      <c r="C404" s="18" t="str">
        <f>IF(B404="","",VLOOKUP(B404,'Tabla de proceso'!$B$6:$G$28,2,))</f>
        <v/>
      </c>
      <c r="D404" s="17" t="str">
        <f>IF(B404="","",VLOOKUP(B404,'Tabla de proceso'!$B$5:$G$28,3,0))</f>
        <v/>
      </c>
      <c r="E404" s="13" t="str">
        <f t="shared" si="70"/>
        <v/>
      </c>
      <c r="F404" s="13" t="str">
        <f t="shared" si="71"/>
        <v/>
      </c>
      <c r="G404" s="13" t="str">
        <f t="shared" si="72"/>
        <v/>
      </c>
      <c r="H404" s="13" t="e">
        <f t="shared" si="73"/>
        <v>#VALUE!</v>
      </c>
      <c r="I404" s="47"/>
      <c r="J404" s="16">
        <f t="shared" si="74"/>
        <v>0</v>
      </c>
      <c r="K404" s="45" t="str">
        <f t="shared" si="75"/>
        <v>sábado</v>
      </c>
      <c r="L404" s="48"/>
      <c r="M404" s="50"/>
      <c r="N404" s="52">
        <f t="shared" si="76"/>
        <v>0</v>
      </c>
      <c r="O404" s="52">
        <f t="shared" si="77"/>
        <v>0</v>
      </c>
      <c r="P404" s="53">
        <f t="shared" si="78"/>
        <v>0</v>
      </c>
      <c r="Q404" s="54" t="str">
        <f t="shared" si="79"/>
        <v/>
      </c>
      <c r="R404" s="58" t="str">
        <f t="shared" si="80"/>
        <v/>
      </c>
      <c r="S404" s="51"/>
    </row>
    <row r="405" spans="1:19" s="44" customFormat="1">
      <c r="A405" s="15"/>
      <c r="B405" s="75"/>
      <c r="C405" s="18" t="str">
        <f>IF(B405="","",VLOOKUP(B405,'Tabla de proceso'!$B$6:$G$28,2,))</f>
        <v/>
      </c>
      <c r="D405" s="17" t="str">
        <f>IF(B405="","",VLOOKUP(B405,'Tabla de proceso'!$B$5:$G$28,3,0))</f>
        <v/>
      </c>
      <c r="E405" s="13" t="str">
        <f t="shared" si="70"/>
        <v/>
      </c>
      <c r="F405" s="13" t="str">
        <f t="shared" si="71"/>
        <v/>
      </c>
      <c r="G405" s="13" t="str">
        <f t="shared" si="72"/>
        <v/>
      </c>
      <c r="H405" s="13" t="e">
        <f t="shared" si="73"/>
        <v>#VALUE!</v>
      </c>
      <c r="I405" s="47"/>
      <c r="J405" s="16">
        <f t="shared" si="74"/>
        <v>0</v>
      </c>
      <c r="K405" s="45" t="str">
        <f t="shared" si="75"/>
        <v>sábado</v>
      </c>
      <c r="L405" s="48"/>
      <c r="M405" s="50"/>
      <c r="N405" s="52">
        <f t="shared" si="76"/>
        <v>0</v>
      </c>
      <c r="O405" s="52">
        <f t="shared" si="77"/>
        <v>0</v>
      </c>
      <c r="P405" s="53">
        <f t="shared" si="78"/>
        <v>0</v>
      </c>
      <c r="Q405" s="54" t="str">
        <f t="shared" si="79"/>
        <v/>
      </c>
      <c r="R405" s="58" t="str">
        <f t="shared" si="80"/>
        <v/>
      </c>
      <c r="S405" s="51"/>
    </row>
    <row r="406" spans="1:19" s="44" customFormat="1">
      <c r="A406" s="15"/>
      <c r="B406" s="75"/>
      <c r="C406" s="18" t="str">
        <f>IF(B406="","",VLOOKUP(B406,'Tabla de proceso'!$B$6:$G$28,2,))</f>
        <v/>
      </c>
      <c r="D406" s="17" t="str">
        <f>IF(B406="","",VLOOKUP(B406,'Tabla de proceso'!$B$5:$G$28,3,0))</f>
        <v/>
      </c>
      <c r="E406" s="13" t="str">
        <f t="shared" si="70"/>
        <v/>
      </c>
      <c r="F406" s="13" t="str">
        <f t="shared" si="71"/>
        <v/>
      </c>
      <c r="G406" s="13" t="str">
        <f t="shared" si="72"/>
        <v/>
      </c>
      <c r="H406" s="13" t="e">
        <f t="shared" si="73"/>
        <v>#VALUE!</v>
      </c>
      <c r="I406" s="47"/>
      <c r="J406" s="16">
        <f t="shared" si="74"/>
        <v>0</v>
      </c>
      <c r="K406" s="45" t="str">
        <f t="shared" si="75"/>
        <v>sábado</v>
      </c>
      <c r="L406" s="48"/>
      <c r="M406" s="50"/>
      <c r="N406" s="52">
        <f t="shared" si="76"/>
        <v>0</v>
      </c>
      <c r="O406" s="52">
        <f t="shared" si="77"/>
        <v>0</v>
      </c>
      <c r="P406" s="53">
        <f t="shared" si="78"/>
        <v>0</v>
      </c>
      <c r="Q406" s="54" t="str">
        <f t="shared" si="79"/>
        <v/>
      </c>
      <c r="R406" s="58" t="str">
        <f t="shared" si="80"/>
        <v/>
      </c>
      <c r="S406" s="51"/>
    </row>
    <row r="407" spans="1:19" s="44" customFormat="1">
      <c r="A407" s="15"/>
      <c r="B407" s="75"/>
      <c r="C407" s="18" t="str">
        <f>IF(B407="","",VLOOKUP(B407,'Tabla de proceso'!$B$6:$G$28,2,))</f>
        <v/>
      </c>
      <c r="D407" s="17" t="str">
        <f>IF(B407="","",VLOOKUP(B407,'Tabla de proceso'!$B$5:$G$28,3,0))</f>
        <v/>
      </c>
      <c r="E407" s="13" t="str">
        <f t="shared" si="70"/>
        <v/>
      </c>
      <c r="F407" s="13" t="str">
        <f t="shared" si="71"/>
        <v/>
      </c>
      <c r="G407" s="13" t="str">
        <f t="shared" si="72"/>
        <v/>
      </c>
      <c r="H407" s="13" t="e">
        <f t="shared" si="73"/>
        <v>#VALUE!</v>
      </c>
      <c r="I407" s="47"/>
      <c r="J407" s="16">
        <f t="shared" si="74"/>
        <v>0</v>
      </c>
      <c r="K407" s="45" t="str">
        <f t="shared" si="75"/>
        <v>sábado</v>
      </c>
      <c r="L407" s="48"/>
      <c r="M407" s="50"/>
      <c r="N407" s="52">
        <f t="shared" si="76"/>
        <v>0</v>
      </c>
      <c r="O407" s="52">
        <f t="shared" si="77"/>
        <v>0</v>
      </c>
      <c r="P407" s="53">
        <f t="shared" si="78"/>
        <v>0</v>
      </c>
      <c r="Q407" s="54" t="str">
        <f t="shared" si="79"/>
        <v/>
      </c>
      <c r="R407" s="58" t="str">
        <f t="shared" si="80"/>
        <v/>
      </c>
      <c r="S407" s="51"/>
    </row>
    <row r="408" spans="1:19" s="44" customFormat="1">
      <c r="A408" s="15"/>
      <c r="B408" s="75"/>
      <c r="C408" s="18" t="str">
        <f>IF(B408="","",VLOOKUP(B408,'Tabla de proceso'!$B$6:$G$28,2,))</f>
        <v/>
      </c>
      <c r="D408" s="17" t="str">
        <f>IF(B408="","",VLOOKUP(B408,'Tabla de proceso'!$B$5:$G$28,3,0))</f>
        <v/>
      </c>
      <c r="E408" s="13" t="str">
        <f t="shared" si="70"/>
        <v/>
      </c>
      <c r="F408" s="13" t="str">
        <f t="shared" si="71"/>
        <v/>
      </c>
      <c r="G408" s="13" t="str">
        <f t="shared" si="72"/>
        <v/>
      </c>
      <c r="H408" s="13" t="e">
        <f t="shared" si="73"/>
        <v>#VALUE!</v>
      </c>
      <c r="I408" s="47"/>
      <c r="J408" s="16">
        <f t="shared" si="74"/>
        <v>0</v>
      </c>
      <c r="K408" s="45" t="str">
        <f t="shared" si="75"/>
        <v>sábado</v>
      </c>
      <c r="L408" s="48"/>
      <c r="M408" s="50"/>
      <c r="N408" s="52">
        <f t="shared" si="76"/>
        <v>0</v>
      </c>
      <c r="O408" s="52">
        <f t="shared" si="77"/>
        <v>0</v>
      </c>
      <c r="P408" s="53">
        <f t="shared" si="78"/>
        <v>0</v>
      </c>
      <c r="Q408" s="54" t="str">
        <f t="shared" si="79"/>
        <v/>
      </c>
      <c r="R408" s="58" t="str">
        <f t="shared" si="80"/>
        <v/>
      </c>
      <c r="S408" s="51"/>
    </row>
    <row r="409" spans="1:19" s="44" customFormat="1">
      <c r="A409" s="15"/>
      <c r="B409" s="75"/>
      <c r="C409" s="18" t="str">
        <f>IF(B409="","",VLOOKUP(B409,'Tabla de proceso'!$B$6:$G$28,2,))</f>
        <v/>
      </c>
      <c r="D409" s="17" t="str">
        <f>IF(B409="","",VLOOKUP(B409,'Tabla de proceso'!$B$5:$G$28,3,0))</f>
        <v/>
      </c>
      <c r="E409" s="13" t="str">
        <f t="shared" si="70"/>
        <v/>
      </c>
      <c r="F409" s="13" t="str">
        <f t="shared" si="71"/>
        <v/>
      </c>
      <c r="G409" s="13" t="str">
        <f t="shared" si="72"/>
        <v/>
      </c>
      <c r="H409" s="13" t="e">
        <f t="shared" si="73"/>
        <v>#VALUE!</v>
      </c>
      <c r="I409" s="47"/>
      <c r="J409" s="16">
        <f t="shared" si="74"/>
        <v>0</v>
      </c>
      <c r="K409" s="45" t="str">
        <f t="shared" si="75"/>
        <v>sábado</v>
      </c>
      <c r="L409" s="48"/>
      <c r="M409" s="50"/>
      <c r="N409" s="52">
        <f t="shared" si="76"/>
        <v>0</v>
      </c>
      <c r="O409" s="52">
        <f t="shared" si="77"/>
        <v>0</v>
      </c>
      <c r="P409" s="53">
        <f t="shared" si="78"/>
        <v>0</v>
      </c>
      <c r="Q409" s="54" t="str">
        <f t="shared" si="79"/>
        <v/>
      </c>
      <c r="R409" s="58" t="str">
        <f t="shared" si="80"/>
        <v/>
      </c>
      <c r="S409" s="51"/>
    </row>
    <row r="410" spans="1:19" s="44" customFormat="1">
      <c r="A410" s="15"/>
      <c r="B410" s="75"/>
      <c r="C410" s="18" t="str">
        <f>IF(B410="","",VLOOKUP(B410,'Tabla de proceso'!$B$6:$G$28,2,))</f>
        <v/>
      </c>
      <c r="D410" s="17" t="str">
        <f>IF(B410="","",VLOOKUP(B410,'Tabla de proceso'!$B$5:$G$28,3,0))</f>
        <v/>
      </c>
      <c r="E410" s="13" t="str">
        <f t="shared" si="70"/>
        <v/>
      </c>
      <c r="F410" s="13" t="str">
        <f t="shared" si="71"/>
        <v/>
      </c>
      <c r="G410" s="13" t="str">
        <f t="shared" si="72"/>
        <v/>
      </c>
      <c r="H410" s="13" t="e">
        <f t="shared" si="73"/>
        <v>#VALUE!</v>
      </c>
      <c r="I410" s="47"/>
      <c r="J410" s="16">
        <f t="shared" si="74"/>
        <v>0</v>
      </c>
      <c r="K410" s="45" t="str">
        <f t="shared" si="75"/>
        <v>sábado</v>
      </c>
      <c r="L410" s="48"/>
      <c r="M410" s="50"/>
      <c r="N410" s="52">
        <f t="shared" si="76"/>
        <v>0</v>
      </c>
      <c r="O410" s="52">
        <f t="shared" si="77"/>
        <v>0</v>
      </c>
      <c r="P410" s="53">
        <f t="shared" si="78"/>
        <v>0</v>
      </c>
      <c r="Q410" s="54" t="str">
        <f t="shared" si="79"/>
        <v/>
      </c>
      <c r="R410" s="58" t="str">
        <f t="shared" si="80"/>
        <v/>
      </c>
      <c r="S410" s="51"/>
    </row>
    <row r="411" spans="1:19" s="44" customFormat="1">
      <c r="A411" s="15"/>
      <c r="B411" s="75"/>
      <c r="C411" s="18" t="str">
        <f>IF(B411="","",VLOOKUP(B411,'Tabla de proceso'!$B$6:$G$28,2,))</f>
        <v/>
      </c>
      <c r="D411" s="17" t="str">
        <f>IF(B411="","",VLOOKUP(B411,'Tabla de proceso'!$B$5:$G$28,3,0))</f>
        <v/>
      </c>
      <c r="E411" s="13" t="str">
        <f t="shared" si="70"/>
        <v/>
      </c>
      <c r="F411" s="13" t="str">
        <f t="shared" si="71"/>
        <v/>
      </c>
      <c r="G411" s="13" t="str">
        <f t="shared" si="72"/>
        <v/>
      </c>
      <c r="H411" s="13" t="e">
        <f t="shared" si="73"/>
        <v>#VALUE!</v>
      </c>
      <c r="I411" s="47"/>
      <c r="J411" s="16">
        <f t="shared" si="74"/>
        <v>0</v>
      </c>
      <c r="K411" s="45" t="str">
        <f t="shared" si="75"/>
        <v>sábado</v>
      </c>
      <c r="L411" s="48"/>
      <c r="M411" s="50"/>
      <c r="N411" s="52">
        <f t="shared" si="76"/>
        <v>0</v>
      </c>
      <c r="O411" s="52">
        <f t="shared" si="77"/>
        <v>0</v>
      </c>
      <c r="P411" s="53">
        <f t="shared" si="78"/>
        <v>0</v>
      </c>
      <c r="Q411" s="54" t="str">
        <f t="shared" si="79"/>
        <v/>
      </c>
      <c r="R411" s="58" t="str">
        <f t="shared" si="80"/>
        <v/>
      </c>
      <c r="S411" s="51"/>
    </row>
    <row r="412" spans="1:19" s="44" customFormat="1">
      <c r="A412" s="15"/>
      <c r="B412" s="75"/>
      <c r="C412" s="18" t="str">
        <f>IF(B412="","",VLOOKUP(B412,'Tabla de proceso'!$B$6:$G$28,2,))</f>
        <v/>
      </c>
      <c r="D412" s="17" t="str">
        <f>IF(B412="","",VLOOKUP(B412,'Tabla de proceso'!$B$5:$G$28,3,0))</f>
        <v/>
      </c>
      <c r="E412" s="13" t="str">
        <f t="shared" si="70"/>
        <v/>
      </c>
      <c r="F412" s="13" t="str">
        <f t="shared" si="71"/>
        <v/>
      </c>
      <c r="G412" s="13" t="str">
        <f t="shared" si="72"/>
        <v/>
      </c>
      <c r="H412" s="13" t="e">
        <f t="shared" si="73"/>
        <v>#VALUE!</v>
      </c>
      <c r="I412" s="47"/>
      <c r="J412" s="16">
        <f t="shared" si="74"/>
        <v>0</v>
      </c>
      <c r="K412" s="45" t="str">
        <f t="shared" si="75"/>
        <v>sábado</v>
      </c>
      <c r="L412" s="48"/>
      <c r="M412" s="50"/>
      <c r="N412" s="52">
        <f t="shared" si="76"/>
        <v>0</v>
      </c>
      <c r="O412" s="52">
        <f t="shared" si="77"/>
        <v>0</v>
      </c>
      <c r="P412" s="53">
        <f t="shared" si="78"/>
        <v>0</v>
      </c>
      <c r="Q412" s="54" t="str">
        <f t="shared" si="79"/>
        <v/>
      </c>
      <c r="R412" s="58" t="str">
        <f t="shared" si="80"/>
        <v/>
      </c>
      <c r="S412" s="51"/>
    </row>
    <row r="413" spans="1:19" s="44" customFormat="1">
      <c r="A413" s="15"/>
      <c r="B413" s="75"/>
      <c r="C413" s="18" t="str">
        <f>IF(B413="","",VLOOKUP(B413,'Tabla de proceso'!$B$6:$G$28,2,))</f>
        <v/>
      </c>
      <c r="D413" s="17" t="str">
        <f>IF(B413="","",VLOOKUP(B413,'Tabla de proceso'!$B$5:$G$28,3,0))</f>
        <v/>
      </c>
      <c r="E413" s="13" t="str">
        <f t="shared" si="70"/>
        <v/>
      </c>
      <c r="F413" s="13" t="str">
        <f t="shared" si="71"/>
        <v/>
      </c>
      <c r="G413" s="13" t="str">
        <f t="shared" si="72"/>
        <v/>
      </c>
      <c r="H413" s="13" t="e">
        <f t="shared" si="73"/>
        <v>#VALUE!</v>
      </c>
      <c r="I413" s="47"/>
      <c r="J413" s="16">
        <f t="shared" si="74"/>
        <v>0</v>
      </c>
      <c r="K413" s="45" t="str">
        <f t="shared" si="75"/>
        <v>sábado</v>
      </c>
      <c r="L413" s="48"/>
      <c r="M413" s="50"/>
      <c r="N413" s="52">
        <f t="shared" si="76"/>
        <v>0</v>
      </c>
      <c r="O413" s="52">
        <f t="shared" si="77"/>
        <v>0</v>
      </c>
      <c r="P413" s="53">
        <f t="shared" si="78"/>
        <v>0</v>
      </c>
      <c r="Q413" s="54" t="str">
        <f t="shared" si="79"/>
        <v/>
      </c>
      <c r="R413" s="58" t="str">
        <f t="shared" si="80"/>
        <v/>
      </c>
      <c r="S413" s="51"/>
    </row>
    <row r="414" spans="1:19" s="44" customFormat="1">
      <c r="A414" s="15"/>
      <c r="B414" s="75"/>
      <c r="C414" s="18" t="str">
        <f>IF(B414="","",VLOOKUP(B414,'Tabla de proceso'!$B$6:$G$28,2,))</f>
        <v/>
      </c>
      <c r="D414" s="17" t="str">
        <f>IF(B414="","",VLOOKUP(B414,'Tabla de proceso'!$B$5:$G$28,3,0))</f>
        <v/>
      </c>
      <c r="E414" s="13" t="str">
        <f t="shared" si="70"/>
        <v/>
      </c>
      <c r="F414" s="13" t="str">
        <f t="shared" si="71"/>
        <v/>
      </c>
      <c r="G414" s="13" t="str">
        <f t="shared" si="72"/>
        <v/>
      </c>
      <c r="H414" s="13" t="e">
        <f t="shared" si="73"/>
        <v>#VALUE!</v>
      </c>
      <c r="I414" s="47"/>
      <c r="J414" s="16">
        <f t="shared" si="74"/>
        <v>0</v>
      </c>
      <c r="K414" s="45" t="str">
        <f t="shared" si="75"/>
        <v>sábado</v>
      </c>
      <c r="L414" s="48"/>
      <c r="M414" s="50"/>
      <c r="N414" s="52">
        <f t="shared" si="76"/>
        <v>0</v>
      </c>
      <c r="O414" s="52">
        <f t="shared" si="77"/>
        <v>0</v>
      </c>
      <c r="P414" s="53">
        <f t="shared" si="78"/>
        <v>0</v>
      </c>
      <c r="Q414" s="54" t="str">
        <f t="shared" si="79"/>
        <v/>
      </c>
      <c r="R414" s="58" t="str">
        <f t="shared" si="80"/>
        <v/>
      </c>
      <c r="S414" s="51"/>
    </row>
    <row r="415" spans="1:19" s="44" customFormat="1">
      <c r="A415" s="15"/>
      <c r="B415" s="75"/>
      <c r="C415" s="18" t="str">
        <f>IF(B415="","",VLOOKUP(B415,'Tabla de proceso'!$B$6:$G$28,2,))</f>
        <v/>
      </c>
      <c r="D415" s="17" t="str">
        <f>IF(B415="","",VLOOKUP(B415,'Tabla de proceso'!$B$5:$G$28,3,0))</f>
        <v/>
      </c>
      <c r="E415" s="13" t="str">
        <f t="shared" si="70"/>
        <v/>
      </c>
      <c r="F415" s="13" t="str">
        <f t="shared" si="71"/>
        <v/>
      </c>
      <c r="G415" s="13" t="str">
        <f t="shared" si="72"/>
        <v/>
      </c>
      <c r="H415" s="13" t="e">
        <f t="shared" si="73"/>
        <v>#VALUE!</v>
      </c>
      <c r="I415" s="47"/>
      <c r="J415" s="16">
        <f t="shared" si="74"/>
        <v>0</v>
      </c>
      <c r="K415" s="45" t="str">
        <f t="shared" si="75"/>
        <v>sábado</v>
      </c>
      <c r="L415" s="48"/>
      <c r="M415" s="50"/>
      <c r="N415" s="52">
        <f t="shared" si="76"/>
        <v>0</v>
      </c>
      <c r="O415" s="52">
        <f t="shared" si="77"/>
        <v>0</v>
      </c>
      <c r="P415" s="53">
        <f t="shared" si="78"/>
        <v>0</v>
      </c>
      <c r="Q415" s="54" t="str">
        <f t="shared" si="79"/>
        <v/>
      </c>
      <c r="R415" s="58" t="str">
        <f t="shared" si="80"/>
        <v/>
      </c>
      <c r="S415" s="51"/>
    </row>
    <row r="416" spans="1:19" s="44" customFormat="1">
      <c r="A416" s="15"/>
      <c r="B416" s="75"/>
      <c r="C416" s="18" t="str">
        <f>IF(B416="","",VLOOKUP(B416,'Tabla de proceso'!$B$6:$G$28,2,))</f>
        <v/>
      </c>
      <c r="D416" s="17" t="str">
        <f>IF(B416="","",VLOOKUP(B416,'Tabla de proceso'!$B$5:$G$28,3,0))</f>
        <v/>
      </c>
      <c r="E416" s="13" t="str">
        <f t="shared" si="70"/>
        <v/>
      </c>
      <c r="F416" s="13" t="str">
        <f t="shared" si="71"/>
        <v/>
      </c>
      <c r="G416" s="13" t="str">
        <f t="shared" si="72"/>
        <v/>
      </c>
      <c r="H416" s="13" t="e">
        <f t="shared" si="73"/>
        <v>#VALUE!</v>
      </c>
      <c r="I416" s="47"/>
      <c r="J416" s="16">
        <f t="shared" si="74"/>
        <v>0</v>
      </c>
      <c r="K416" s="45" t="str">
        <f t="shared" si="75"/>
        <v>sábado</v>
      </c>
      <c r="L416" s="48"/>
      <c r="M416" s="50"/>
      <c r="N416" s="52">
        <f t="shared" si="76"/>
        <v>0</v>
      </c>
      <c r="O416" s="52">
        <f t="shared" si="77"/>
        <v>0</v>
      </c>
      <c r="P416" s="53">
        <f t="shared" si="78"/>
        <v>0</v>
      </c>
      <c r="Q416" s="54" t="str">
        <f t="shared" si="79"/>
        <v/>
      </c>
      <c r="R416" s="58" t="str">
        <f t="shared" si="80"/>
        <v/>
      </c>
      <c r="S416" s="51"/>
    </row>
    <row r="417" spans="1:19" s="44" customFormat="1">
      <c r="A417" s="15"/>
      <c r="B417" s="75"/>
      <c r="C417" s="18" t="str">
        <f>IF(B417="","",VLOOKUP(B417,'Tabla de proceso'!$B$6:$G$28,2,))</f>
        <v/>
      </c>
      <c r="D417" s="17" t="str">
        <f>IF(B417="","",VLOOKUP(B417,'Tabla de proceso'!$B$5:$G$28,3,0))</f>
        <v/>
      </c>
      <c r="E417" s="13" t="str">
        <f t="shared" si="70"/>
        <v/>
      </c>
      <c r="F417" s="13" t="str">
        <f t="shared" si="71"/>
        <v/>
      </c>
      <c r="G417" s="13" t="str">
        <f t="shared" si="72"/>
        <v/>
      </c>
      <c r="H417" s="13" t="e">
        <f t="shared" si="73"/>
        <v>#VALUE!</v>
      </c>
      <c r="I417" s="47"/>
      <c r="J417" s="16">
        <f t="shared" si="74"/>
        <v>0</v>
      </c>
      <c r="K417" s="45" t="str">
        <f t="shared" si="75"/>
        <v>sábado</v>
      </c>
      <c r="L417" s="48"/>
      <c r="M417" s="50"/>
      <c r="N417" s="52">
        <f t="shared" si="76"/>
        <v>0</v>
      </c>
      <c r="O417" s="52">
        <f t="shared" si="77"/>
        <v>0</v>
      </c>
      <c r="P417" s="53">
        <f t="shared" si="78"/>
        <v>0</v>
      </c>
      <c r="Q417" s="54" t="str">
        <f t="shared" si="79"/>
        <v/>
      </c>
      <c r="R417" s="58" t="str">
        <f t="shared" si="80"/>
        <v/>
      </c>
      <c r="S417" s="51"/>
    </row>
    <row r="418" spans="1:19" s="44" customFormat="1">
      <c r="A418" s="15"/>
      <c r="B418" s="75"/>
      <c r="C418" s="18" t="str">
        <f>IF(B418="","",VLOOKUP(B418,'Tabla de proceso'!$B$6:$G$28,2,))</f>
        <v/>
      </c>
      <c r="D418" s="17" t="str">
        <f>IF(B418="","",VLOOKUP(B418,'Tabla de proceso'!$B$5:$G$28,3,0))</f>
        <v/>
      </c>
      <c r="E418" s="13" t="str">
        <f t="shared" si="70"/>
        <v/>
      </c>
      <c r="F418" s="13" t="str">
        <f t="shared" si="71"/>
        <v/>
      </c>
      <c r="G418" s="13" t="str">
        <f t="shared" si="72"/>
        <v/>
      </c>
      <c r="H418" s="13" t="e">
        <f t="shared" si="73"/>
        <v>#VALUE!</v>
      </c>
      <c r="I418" s="47"/>
      <c r="J418" s="16">
        <f t="shared" si="74"/>
        <v>0</v>
      </c>
      <c r="K418" s="45" t="str">
        <f t="shared" si="75"/>
        <v>sábado</v>
      </c>
      <c r="L418" s="48"/>
      <c r="M418" s="50"/>
      <c r="N418" s="52">
        <f t="shared" si="76"/>
        <v>0</v>
      </c>
      <c r="O418" s="52">
        <f t="shared" si="77"/>
        <v>0</v>
      </c>
      <c r="P418" s="53">
        <f t="shared" si="78"/>
        <v>0</v>
      </c>
      <c r="Q418" s="54" t="str">
        <f t="shared" si="79"/>
        <v/>
      </c>
      <c r="R418" s="58" t="str">
        <f t="shared" si="80"/>
        <v/>
      </c>
      <c r="S418" s="51"/>
    </row>
    <row r="419" spans="1:19" s="44" customFormat="1">
      <c r="A419" s="15"/>
      <c r="B419" s="75"/>
      <c r="C419" s="18" t="str">
        <f>IF(B419="","",VLOOKUP(B419,'Tabla de proceso'!$B$6:$G$28,2,))</f>
        <v/>
      </c>
      <c r="D419" s="17" t="str">
        <f>IF(B419="","",VLOOKUP(B419,'Tabla de proceso'!$B$5:$G$28,3,0))</f>
        <v/>
      </c>
      <c r="E419" s="13" t="str">
        <f t="shared" ref="E419:E450" si="81">D419</f>
        <v/>
      </c>
      <c r="F419" s="13" t="str">
        <f t="shared" ref="F419:F450" si="82">IF(E419="","",+$E419/9)</f>
        <v/>
      </c>
      <c r="G419" s="13" t="str">
        <f t="shared" ref="G419:G450" si="83">IF(E419="","",($E419/60)/9)</f>
        <v/>
      </c>
      <c r="H419" s="13" t="e">
        <f t="shared" ref="H419:H450" si="84">+$E419*5</f>
        <v>#VALUE!</v>
      </c>
      <c r="I419" s="47"/>
      <c r="J419" s="16">
        <f t="shared" si="74"/>
        <v>0</v>
      </c>
      <c r="K419" s="45" t="str">
        <f t="shared" si="75"/>
        <v>sábado</v>
      </c>
      <c r="L419" s="48"/>
      <c r="M419" s="50"/>
      <c r="N419" s="52">
        <f t="shared" si="76"/>
        <v>0</v>
      </c>
      <c r="O419" s="52">
        <f t="shared" si="77"/>
        <v>0</v>
      </c>
      <c r="P419" s="53">
        <f t="shared" si="78"/>
        <v>0</v>
      </c>
      <c r="Q419" s="54" t="str">
        <f t="shared" si="79"/>
        <v/>
      </c>
      <c r="R419" s="58" t="str">
        <f t="shared" si="80"/>
        <v/>
      </c>
      <c r="S419" s="51"/>
    </row>
    <row r="420" spans="1:19" s="44" customFormat="1">
      <c r="A420" s="15"/>
      <c r="B420" s="75"/>
      <c r="C420" s="18" t="str">
        <f>IF(B420="","",VLOOKUP(B420,'Tabla de proceso'!$B$6:$G$28,2,))</f>
        <v/>
      </c>
      <c r="D420" s="17" t="str">
        <f>IF(B420="","",VLOOKUP(B420,'Tabla de proceso'!$B$5:$G$28,3,0))</f>
        <v/>
      </c>
      <c r="E420" s="13" t="str">
        <f t="shared" si="81"/>
        <v/>
      </c>
      <c r="F420" s="13" t="str">
        <f t="shared" si="82"/>
        <v/>
      </c>
      <c r="G420" s="13" t="str">
        <f t="shared" si="83"/>
        <v/>
      </c>
      <c r="H420" s="13" t="e">
        <f t="shared" si="84"/>
        <v>#VALUE!</v>
      </c>
      <c r="I420" s="47"/>
      <c r="J420" s="16">
        <f t="shared" si="74"/>
        <v>0</v>
      </c>
      <c r="K420" s="45" t="str">
        <f t="shared" si="75"/>
        <v>sábado</v>
      </c>
      <c r="L420" s="48"/>
      <c r="M420" s="50"/>
      <c r="N420" s="52">
        <f t="shared" si="76"/>
        <v>0</v>
      </c>
      <c r="O420" s="52">
        <f t="shared" si="77"/>
        <v>0</v>
      </c>
      <c r="P420" s="53">
        <f t="shared" si="78"/>
        <v>0</v>
      </c>
      <c r="Q420" s="54" t="str">
        <f t="shared" si="79"/>
        <v/>
      </c>
      <c r="R420" s="58" t="str">
        <f t="shared" si="80"/>
        <v/>
      </c>
      <c r="S420" s="51"/>
    </row>
    <row r="421" spans="1:19" s="44" customFormat="1">
      <c r="A421" s="15"/>
      <c r="B421" s="75"/>
      <c r="C421" s="18" t="str">
        <f>IF(B421="","",VLOOKUP(B421,'Tabla de proceso'!$B$6:$G$28,2,))</f>
        <v/>
      </c>
      <c r="D421" s="17" t="str">
        <f>IF(B421="","",VLOOKUP(B421,'Tabla de proceso'!$B$5:$G$28,3,0))</f>
        <v/>
      </c>
      <c r="E421" s="13" t="str">
        <f t="shared" si="81"/>
        <v/>
      </c>
      <c r="F421" s="13" t="str">
        <f t="shared" si="82"/>
        <v/>
      </c>
      <c r="G421" s="13" t="str">
        <f t="shared" si="83"/>
        <v/>
      </c>
      <c r="H421" s="13" t="e">
        <f t="shared" si="84"/>
        <v>#VALUE!</v>
      </c>
      <c r="I421" s="47"/>
      <c r="J421" s="16">
        <f t="shared" si="74"/>
        <v>0</v>
      </c>
      <c r="K421" s="45" t="str">
        <f t="shared" si="75"/>
        <v>sábado</v>
      </c>
      <c r="L421" s="48"/>
      <c r="M421" s="50"/>
      <c r="N421" s="52">
        <f t="shared" si="76"/>
        <v>0</v>
      </c>
      <c r="O421" s="52">
        <f t="shared" si="77"/>
        <v>0</v>
      </c>
      <c r="P421" s="53">
        <f t="shared" si="78"/>
        <v>0</v>
      </c>
      <c r="Q421" s="54" t="str">
        <f t="shared" si="79"/>
        <v/>
      </c>
      <c r="R421" s="58" t="str">
        <f t="shared" si="80"/>
        <v/>
      </c>
      <c r="S421" s="51"/>
    </row>
    <row r="422" spans="1:19" s="44" customFormat="1">
      <c r="A422" s="15"/>
      <c r="B422" s="75"/>
      <c r="C422" s="18" t="str">
        <f>IF(B422="","",VLOOKUP(B422,'Tabla de proceso'!$B$6:$G$28,2,))</f>
        <v/>
      </c>
      <c r="D422" s="17" t="str">
        <f>IF(B422="","",VLOOKUP(B422,'Tabla de proceso'!$B$5:$G$28,3,0))</f>
        <v/>
      </c>
      <c r="E422" s="13" t="str">
        <f t="shared" si="81"/>
        <v/>
      </c>
      <c r="F422" s="13" t="str">
        <f t="shared" si="82"/>
        <v/>
      </c>
      <c r="G422" s="13" t="str">
        <f t="shared" si="83"/>
        <v/>
      </c>
      <c r="H422" s="13" t="e">
        <f t="shared" si="84"/>
        <v>#VALUE!</v>
      </c>
      <c r="I422" s="47"/>
      <c r="J422" s="16">
        <f t="shared" si="74"/>
        <v>0</v>
      </c>
      <c r="K422" s="45" t="str">
        <f t="shared" si="75"/>
        <v>sábado</v>
      </c>
      <c r="L422" s="48"/>
      <c r="M422" s="50"/>
      <c r="N422" s="52">
        <f t="shared" si="76"/>
        <v>0</v>
      </c>
      <c r="O422" s="52">
        <f t="shared" si="77"/>
        <v>0</v>
      </c>
      <c r="P422" s="53">
        <f t="shared" si="78"/>
        <v>0</v>
      </c>
      <c r="Q422" s="54" t="str">
        <f t="shared" si="79"/>
        <v/>
      </c>
      <c r="R422" s="58" t="str">
        <f t="shared" si="80"/>
        <v/>
      </c>
      <c r="S422" s="51"/>
    </row>
    <row r="423" spans="1:19" s="44" customFormat="1">
      <c r="A423" s="15"/>
      <c r="B423" s="75"/>
      <c r="C423" s="18" t="str">
        <f>IF(B423="","",VLOOKUP(B423,'Tabla de proceso'!$B$6:$G$28,2,))</f>
        <v/>
      </c>
      <c r="D423" s="17" t="str">
        <f>IF(B423="","",VLOOKUP(B423,'Tabla de proceso'!$B$5:$G$28,3,0))</f>
        <v/>
      </c>
      <c r="E423" s="13" t="str">
        <f t="shared" si="81"/>
        <v/>
      </c>
      <c r="F423" s="13" t="str">
        <f t="shared" si="82"/>
        <v/>
      </c>
      <c r="G423" s="13" t="str">
        <f t="shared" si="83"/>
        <v/>
      </c>
      <c r="H423" s="13" t="e">
        <f t="shared" si="84"/>
        <v>#VALUE!</v>
      </c>
      <c r="I423" s="47"/>
      <c r="J423" s="16">
        <f t="shared" si="74"/>
        <v>0</v>
      </c>
      <c r="K423" s="45" t="str">
        <f t="shared" si="75"/>
        <v>sábado</v>
      </c>
      <c r="L423" s="48"/>
      <c r="M423" s="50"/>
      <c r="N423" s="52">
        <f t="shared" si="76"/>
        <v>0</v>
      </c>
      <c r="O423" s="52">
        <f t="shared" si="77"/>
        <v>0</v>
      </c>
      <c r="P423" s="53">
        <f t="shared" si="78"/>
        <v>0</v>
      </c>
      <c r="Q423" s="54" t="str">
        <f t="shared" si="79"/>
        <v/>
      </c>
      <c r="R423" s="58" t="str">
        <f t="shared" si="80"/>
        <v/>
      </c>
      <c r="S423" s="51"/>
    </row>
    <row r="424" spans="1:19" s="44" customFormat="1">
      <c r="A424" s="15"/>
      <c r="B424" s="75"/>
      <c r="C424" s="18" t="str">
        <f>IF(B424="","",VLOOKUP(B424,'Tabla de proceso'!$B$6:$G$28,2,))</f>
        <v/>
      </c>
      <c r="D424" s="17" t="str">
        <f>IF(B424="","",VLOOKUP(B424,'Tabla de proceso'!$B$5:$G$28,3,0))</f>
        <v/>
      </c>
      <c r="E424" s="13" t="str">
        <f t="shared" si="81"/>
        <v/>
      </c>
      <c r="F424" s="13" t="str">
        <f t="shared" si="82"/>
        <v/>
      </c>
      <c r="G424" s="13" t="str">
        <f t="shared" si="83"/>
        <v/>
      </c>
      <c r="H424" s="13" t="e">
        <f t="shared" si="84"/>
        <v>#VALUE!</v>
      </c>
      <c r="I424" s="47"/>
      <c r="J424" s="16">
        <f t="shared" si="74"/>
        <v>0</v>
      </c>
      <c r="K424" s="45" t="str">
        <f t="shared" si="75"/>
        <v>sábado</v>
      </c>
      <c r="L424" s="48"/>
      <c r="M424" s="50"/>
      <c r="N424" s="52">
        <f t="shared" si="76"/>
        <v>0</v>
      </c>
      <c r="O424" s="52">
        <f t="shared" si="77"/>
        <v>0</v>
      </c>
      <c r="P424" s="53">
        <f t="shared" si="78"/>
        <v>0</v>
      </c>
      <c r="Q424" s="54" t="str">
        <f t="shared" si="79"/>
        <v/>
      </c>
      <c r="R424" s="58" t="str">
        <f t="shared" si="80"/>
        <v/>
      </c>
      <c r="S424" s="51"/>
    </row>
    <row r="425" spans="1:19" s="44" customFormat="1">
      <c r="A425" s="15"/>
      <c r="B425" s="75"/>
      <c r="C425" s="18" t="str">
        <f>IF(B425="","",VLOOKUP(B425,'Tabla de proceso'!$B$6:$G$28,2,))</f>
        <v/>
      </c>
      <c r="D425" s="17" t="str">
        <f>IF(B425="","",VLOOKUP(B425,'Tabla de proceso'!$B$5:$G$28,3,0))</f>
        <v/>
      </c>
      <c r="E425" s="13" t="str">
        <f t="shared" si="81"/>
        <v/>
      </c>
      <c r="F425" s="13" t="str">
        <f t="shared" si="82"/>
        <v/>
      </c>
      <c r="G425" s="13" t="str">
        <f t="shared" si="83"/>
        <v/>
      </c>
      <c r="H425" s="13" t="e">
        <f t="shared" si="84"/>
        <v>#VALUE!</v>
      </c>
      <c r="I425" s="47"/>
      <c r="J425" s="16">
        <f t="shared" si="74"/>
        <v>0</v>
      </c>
      <c r="K425" s="45" t="str">
        <f t="shared" si="75"/>
        <v>sábado</v>
      </c>
      <c r="L425" s="48"/>
      <c r="M425" s="50"/>
      <c r="N425" s="52">
        <f t="shared" si="76"/>
        <v>0</v>
      </c>
      <c r="O425" s="52">
        <f t="shared" si="77"/>
        <v>0</v>
      </c>
      <c r="P425" s="53">
        <f t="shared" si="78"/>
        <v>0</v>
      </c>
      <c r="Q425" s="54" t="str">
        <f t="shared" si="79"/>
        <v/>
      </c>
      <c r="R425" s="58" t="str">
        <f t="shared" si="80"/>
        <v/>
      </c>
      <c r="S425" s="51"/>
    </row>
    <row r="426" spans="1:19" s="44" customFormat="1">
      <c r="A426" s="15"/>
      <c r="B426" s="75"/>
      <c r="C426" s="18" t="str">
        <f>IF(B426="","",VLOOKUP(B426,'Tabla de proceso'!$B$6:$G$28,2,))</f>
        <v/>
      </c>
      <c r="D426" s="17" t="str">
        <f>IF(B426="","",VLOOKUP(B426,'Tabla de proceso'!$B$5:$G$28,3,0))</f>
        <v/>
      </c>
      <c r="E426" s="13" t="str">
        <f t="shared" si="81"/>
        <v/>
      </c>
      <c r="F426" s="13" t="str">
        <f t="shared" si="82"/>
        <v/>
      </c>
      <c r="G426" s="13" t="str">
        <f t="shared" si="83"/>
        <v/>
      </c>
      <c r="H426" s="13" t="e">
        <f t="shared" si="84"/>
        <v>#VALUE!</v>
      </c>
      <c r="I426" s="47"/>
      <c r="J426" s="16">
        <f t="shared" si="74"/>
        <v>0</v>
      </c>
      <c r="K426" s="45" t="str">
        <f t="shared" si="75"/>
        <v>sábado</v>
      </c>
      <c r="L426" s="48"/>
      <c r="M426" s="50"/>
      <c r="N426" s="52">
        <f t="shared" si="76"/>
        <v>0</v>
      </c>
      <c r="O426" s="52">
        <f t="shared" si="77"/>
        <v>0</v>
      </c>
      <c r="P426" s="53">
        <f t="shared" si="78"/>
        <v>0</v>
      </c>
      <c r="Q426" s="54" t="str">
        <f t="shared" si="79"/>
        <v/>
      </c>
      <c r="R426" s="58" t="str">
        <f t="shared" si="80"/>
        <v/>
      </c>
      <c r="S426" s="51"/>
    </row>
    <row r="427" spans="1:19" s="44" customFormat="1">
      <c r="A427" s="15"/>
      <c r="B427" s="75"/>
      <c r="C427" s="18" t="str">
        <f>IF(B427="","",VLOOKUP(B427,'Tabla de proceso'!$B$6:$G$28,2,))</f>
        <v/>
      </c>
      <c r="D427" s="17" t="str">
        <f>IF(B427="","",VLOOKUP(B427,'Tabla de proceso'!$B$5:$G$28,3,0))</f>
        <v/>
      </c>
      <c r="E427" s="13" t="str">
        <f t="shared" si="81"/>
        <v/>
      </c>
      <c r="F427" s="13" t="str">
        <f t="shared" si="82"/>
        <v/>
      </c>
      <c r="G427" s="13" t="str">
        <f t="shared" si="83"/>
        <v/>
      </c>
      <c r="H427" s="13" t="e">
        <f t="shared" si="84"/>
        <v>#VALUE!</v>
      </c>
      <c r="I427" s="47"/>
      <c r="J427" s="16">
        <f t="shared" si="74"/>
        <v>0</v>
      </c>
      <c r="K427" s="45" t="str">
        <f t="shared" si="75"/>
        <v>sábado</v>
      </c>
      <c r="L427" s="48"/>
      <c r="M427" s="50"/>
      <c r="N427" s="52">
        <f t="shared" si="76"/>
        <v>0</v>
      </c>
      <c r="O427" s="52">
        <f t="shared" si="77"/>
        <v>0</v>
      </c>
      <c r="P427" s="53">
        <f t="shared" si="78"/>
        <v>0</v>
      </c>
      <c r="Q427" s="54" t="str">
        <f t="shared" si="79"/>
        <v/>
      </c>
      <c r="R427" s="58" t="str">
        <f t="shared" si="80"/>
        <v/>
      </c>
      <c r="S427" s="51"/>
    </row>
    <row r="428" spans="1:19" s="44" customFormat="1">
      <c r="A428" s="15"/>
      <c r="B428" s="75"/>
      <c r="C428" s="18" t="str">
        <f>IF(B428="","",VLOOKUP(B428,'Tabla de proceso'!$B$6:$G$28,2,))</f>
        <v/>
      </c>
      <c r="D428" s="17" t="str">
        <f>IF(B428="","",VLOOKUP(B428,'Tabla de proceso'!$B$5:$G$28,3,0))</f>
        <v/>
      </c>
      <c r="E428" s="13" t="str">
        <f t="shared" si="81"/>
        <v/>
      </c>
      <c r="F428" s="13" t="str">
        <f t="shared" si="82"/>
        <v/>
      </c>
      <c r="G428" s="13" t="str">
        <f t="shared" si="83"/>
        <v/>
      </c>
      <c r="H428" s="13" t="e">
        <f t="shared" si="84"/>
        <v>#VALUE!</v>
      </c>
      <c r="I428" s="47"/>
      <c r="J428" s="16">
        <f t="shared" si="74"/>
        <v>0</v>
      </c>
      <c r="K428" s="45" t="str">
        <f t="shared" si="75"/>
        <v>sábado</v>
      </c>
      <c r="L428" s="48"/>
      <c r="M428" s="50"/>
      <c r="N428" s="52">
        <f t="shared" si="76"/>
        <v>0</v>
      </c>
      <c r="O428" s="52">
        <f t="shared" si="77"/>
        <v>0</v>
      </c>
      <c r="P428" s="53">
        <f t="shared" si="78"/>
        <v>0</v>
      </c>
      <c r="Q428" s="54" t="str">
        <f t="shared" si="79"/>
        <v/>
      </c>
      <c r="R428" s="58" t="str">
        <f t="shared" si="80"/>
        <v/>
      </c>
      <c r="S428" s="51"/>
    </row>
    <row r="429" spans="1:19" s="44" customFormat="1">
      <c r="A429" s="15"/>
      <c r="B429" s="75"/>
      <c r="C429" s="18" t="str">
        <f>IF(B429="","",VLOOKUP(B429,'Tabla de proceso'!$B$6:$G$28,2,))</f>
        <v/>
      </c>
      <c r="D429" s="17" t="str">
        <f>IF(B429="","",VLOOKUP(B429,'Tabla de proceso'!$B$5:$G$28,3,0))</f>
        <v/>
      </c>
      <c r="E429" s="13" t="str">
        <f t="shared" si="81"/>
        <v/>
      </c>
      <c r="F429" s="13" t="str">
        <f t="shared" si="82"/>
        <v/>
      </c>
      <c r="G429" s="13" t="str">
        <f t="shared" si="83"/>
        <v/>
      </c>
      <c r="H429" s="13" t="e">
        <f t="shared" si="84"/>
        <v>#VALUE!</v>
      </c>
      <c r="I429" s="47"/>
      <c r="J429" s="16">
        <f t="shared" si="74"/>
        <v>0</v>
      </c>
      <c r="K429" s="45" t="str">
        <f t="shared" si="75"/>
        <v>sábado</v>
      </c>
      <c r="L429" s="48"/>
      <c r="M429" s="50"/>
      <c r="N429" s="52">
        <f t="shared" si="76"/>
        <v>0</v>
      </c>
      <c r="O429" s="52">
        <f t="shared" si="77"/>
        <v>0</v>
      </c>
      <c r="P429" s="53">
        <f t="shared" si="78"/>
        <v>0</v>
      </c>
      <c r="Q429" s="54" t="str">
        <f t="shared" si="79"/>
        <v/>
      </c>
      <c r="R429" s="58" t="str">
        <f t="shared" si="80"/>
        <v/>
      </c>
      <c r="S429" s="51"/>
    </row>
    <row r="430" spans="1:19" s="44" customFormat="1">
      <c r="A430" s="15"/>
      <c r="B430" s="75"/>
      <c r="C430" s="18" t="str">
        <f>IF(B430="","",VLOOKUP(B430,'Tabla de proceso'!$B$6:$G$28,2,))</f>
        <v/>
      </c>
      <c r="D430" s="17" t="str">
        <f>IF(B430="","",VLOOKUP(B430,'Tabla de proceso'!$B$5:$G$28,3,0))</f>
        <v/>
      </c>
      <c r="E430" s="13" t="str">
        <f t="shared" si="81"/>
        <v/>
      </c>
      <c r="F430" s="13" t="str">
        <f t="shared" si="82"/>
        <v/>
      </c>
      <c r="G430" s="13" t="str">
        <f t="shared" si="83"/>
        <v/>
      </c>
      <c r="H430" s="13" t="e">
        <f t="shared" si="84"/>
        <v>#VALUE!</v>
      </c>
      <c r="I430" s="47"/>
      <c r="J430" s="16">
        <f t="shared" si="74"/>
        <v>0</v>
      </c>
      <c r="K430" s="45" t="str">
        <f t="shared" si="75"/>
        <v>sábado</v>
      </c>
      <c r="L430" s="48"/>
      <c r="M430" s="50"/>
      <c r="N430" s="52">
        <f t="shared" si="76"/>
        <v>0</v>
      </c>
      <c r="O430" s="52">
        <f t="shared" si="77"/>
        <v>0</v>
      </c>
      <c r="P430" s="53">
        <f t="shared" si="78"/>
        <v>0</v>
      </c>
      <c r="Q430" s="54" t="str">
        <f t="shared" si="79"/>
        <v/>
      </c>
      <c r="R430" s="58" t="str">
        <f t="shared" si="80"/>
        <v/>
      </c>
      <c r="S430" s="51"/>
    </row>
    <row r="431" spans="1:19" s="44" customFormat="1">
      <c r="A431" s="15"/>
      <c r="B431" s="75"/>
      <c r="C431" s="18" t="str">
        <f>IF(B431="","",VLOOKUP(B431,'Tabla de proceso'!$B$6:$G$28,2,))</f>
        <v/>
      </c>
      <c r="D431" s="17" t="str">
        <f>IF(B431="","",VLOOKUP(B431,'Tabla de proceso'!$B$5:$G$28,3,0))</f>
        <v/>
      </c>
      <c r="E431" s="13" t="str">
        <f t="shared" si="81"/>
        <v/>
      </c>
      <c r="F431" s="13" t="str">
        <f t="shared" si="82"/>
        <v/>
      </c>
      <c r="G431" s="13" t="str">
        <f t="shared" si="83"/>
        <v/>
      </c>
      <c r="H431" s="13" t="e">
        <f t="shared" si="84"/>
        <v>#VALUE!</v>
      </c>
      <c r="I431" s="47"/>
      <c r="J431" s="16">
        <f t="shared" si="74"/>
        <v>0</v>
      </c>
      <c r="K431" s="45" t="str">
        <f t="shared" si="75"/>
        <v>sábado</v>
      </c>
      <c r="L431" s="48"/>
      <c r="M431" s="50"/>
      <c r="N431" s="52">
        <f t="shared" si="76"/>
        <v>0</v>
      </c>
      <c r="O431" s="52">
        <f t="shared" si="77"/>
        <v>0</v>
      </c>
      <c r="P431" s="53">
        <f t="shared" si="78"/>
        <v>0</v>
      </c>
      <c r="Q431" s="54" t="str">
        <f t="shared" si="79"/>
        <v/>
      </c>
      <c r="R431" s="58" t="str">
        <f t="shared" si="80"/>
        <v/>
      </c>
      <c r="S431" s="51"/>
    </row>
    <row r="432" spans="1:19" s="44" customFormat="1">
      <c r="A432" s="15"/>
      <c r="B432" s="75"/>
      <c r="C432" s="18" t="str">
        <f>IF(B432="","",VLOOKUP(B432,'Tabla de proceso'!$B$6:$G$28,2,))</f>
        <v/>
      </c>
      <c r="D432" s="17" t="str">
        <f>IF(B432="","",VLOOKUP(B432,'Tabla de proceso'!$B$5:$G$28,3,0))</f>
        <v/>
      </c>
      <c r="E432" s="13" t="str">
        <f t="shared" si="81"/>
        <v/>
      </c>
      <c r="F432" s="13" t="str">
        <f t="shared" si="82"/>
        <v/>
      </c>
      <c r="G432" s="13" t="str">
        <f t="shared" si="83"/>
        <v/>
      </c>
      <c r="H432" s="13" t="e">
        <f t="shared" si="84"/>
        <v>#VALUE!</v>
      </c>
      <c r="I432" s="47"/>
      <c r="J432" s="16">
        <f t="shared" si="74"/>
        <v>0</v>
      </c>
      <c r="K432" s="45" t="str">
        <f t="shared" si="75"/>
        <v>sábado</v>
      </c>
      <c r="L432" s="48"/>
      <c r="M432" s="50"/>
      <c r="N432" s="52">
        <f t="shared" si="76"/>
        <v>0</v>
      </c>
      <c r="O432" s="52">
        <f t="shared" si="77"/>
        <v>0</v>
      </c>
      <c r="P432" s="53">
        <f t="shared" si="78"/>
        <v>0</v>
      </c>
      <c r="Q432" s="54" t="str">
        <f t="shared" si="79"/>
        <v/>
      </c>
      <c r="R432" s="58" t="str">
        <f t="shared" si="80"/>
        <v/>
      </c>
      <c r="S432" s="51"/>
    </row>
    <row r="433" spans="1:19" s="44" customFormat="1">
      <c r="A433" s="15"/>
      <c r="B433" s="75"/>
      <c r="C433" s="18" t="str">
        <f>IF(B433="","",VLOOKUP(B433,'Tabla de proceso'!$B$6:$G$28,2,))</f>
        <v/>
      </c>
      <c r="D433" s="17" t="str">
        <f>IF(B433="","",VLOOKUP(B433,'Tabla de proceso'!$B$5:$G$28,3,0))</f>
        <v/>
      </c>
      <c r="E433" s="13" t="str">
        <f t="shared" si="81"/>
        <v/>
      </c>
      <c r="F433" s="13" t="str">
        <f t="shared" si="82"/>
        <v/>
      </c>
      <c r="G433" s="13" t="str">
        <f t="shared" si="83"/>
        <v/>
      </c>
      <c r="H433" s="13" t="e">
        <f t="shared" si="84"/>
        <v>#VALUE!</v>
      </c>
      <c r="I433" s="47"/>
      <c r="J433" s="16">
        <f t="shared" si="74"/>
        <v>0</v>
      </c>
      <c r="K433" s="45" t="str">
        <f t="shared" si="75"/>
        <v>sábado</v>
      </c>
      <c r="L433" s="48"/>
      <c r="M433" s="50"/>
      <c r="N433" s="52">
        <f t="shared" si="76"/>
        <v>0</v>
      </c>
      <c r="O433" s="52">
        <f t="shared" si="77"/>
        <v>0</v>
      </c>
      <c r="P433" s="53">
        <f t="shared" si="78"/>
        <v>0</v>
      </c>
      <c r="Q433" s="54" t="str">
        <f t="shared" si="79"/>
        <v/>
      </c>
      <c r="R433" s="58" t="str">
        <f t="shared" si="80"/>
        <v/>
      </c>
      <c r="S433" s="51"/>
    </row>
    <row r="434" spans="1:19" s="44" customFormat="1">
      <c r="A434" s="15"/>
      <c r="B434" s="75"/>
      <c r="C434" s="18" t="str">
        <f>IF(B434="","",VLOOKUP(B434,'Tabla de proceso'!$B$6:$G$28,2,))</f>
        <v/>
      </c>
      <c r="D434" s="17" t="str">
        <f>IF(B434="","",VLOOKUP(B434,'Tabla de proceso'!$B$5:$G$28,3,0))</f>
        <v/>
      </c>
      <c r="E434" s="13" t="str">
        <f t="shared" si="81"/>
        <v/>
      </c>
      <c r="F434" s="13" t="str">
        <f t="shared" si="82"/>
        <v/>
      </c>
      <c r="G434" s="13" t="str">
        <f t="shared" si="83"/>
        <v/>
      </c>
      <c r="H434" s="13" t="e">
        <f t="shared" si="84"/>
        <v>#VALUE!</v>
      </c>
      <c r="I434" s="47"/>
      <c r="J434" s="16">
        <f t="shared" si="74"/>
        <v>0</v>
      </c>
      <c r="K434" s="45" t="str">
        <f t="shared" si="75"/>
        <v>sábado</v>
      </c>
      <c r="L434" s="48"/>
      <c r="M434" s="50"/>
      <c r="N434" s="52">
        <f t="shared" si="76"/>
        <v>0</v>
      </c>
      <c r="O434" s="52">
        <f t="shared" si="77"/>
        <v>0</v>
      </c>
      <c r="P434" s="53">
        <f t="shared" si="78"/>
        <v>0</v>
      </c>
      <c r="Q434" s="54" t="str">
        <f t="shared" si="79"/>
        <v/>
      </c>
      <c r="R434" s="58" t="str">
        <f t="shared" si="80"/>
        <v/>
      </c>
      <c r="S434" s="51"/>
    </row>
    <row r="435" spans="1:19" s="44" customFormat="1">
      <c r="A435" s="15"/>
      <c r="B435" s="75"/>
      <c r="C435" s="18" t="str">
        <f>IF(B435="","",VLOOKUP(B435,'Tabla de proceso'!$B$6:$G$28,2,))</f>
        <v/>
      </c>
      <c r="D435" s="17" t="str">
        <f>IF(B435="","",VLOOKUP(B435,'Tabla de proceso'!$B$5:$G$28,3,0))</f>
        <v/>
      </c>
      <c r="E435" s="13" t="str">
        <f t="shared" si="81"/>
        <v/>
      </c>
      <c r="F435" s="13" t="str">
        <f t="shared" si="82"/>
        <v/>
      </c>
      <c r="G435" s="13" t="str">
        <f t="shared" si="83"/>
        <v/>
      </c>
      <c r="H435" s="13" t="e">
        <f t="shared" si="84"/>
        <v>#VALUE!</v>
      </c>
      <c r="I435" s="47"/>
      <c r="J435" s="16">
        <f t="shared" si="74"/>
        <v>0</v>
      </c>
      <c r="K435" s="45" t="str">
        <f t="shared" si="75"/>
        <v>sábado</v>
      </c>
      <c r="L435" s="48"/>
      <c r="M435" s="50"/>
      <c r="N435" s="52">
        <f t="shared" si="76"/>
        <v>0</v>
      </c>
      <c r="O435" s="52">
        <f t="shared" si="77"/>
        <v>0</v>
      </c>
      <c r="P435" s="53">
        <f t="shared" si="78"/>
        <v>0</v>
      </c>
      <c r="Q435" s="54" t="str">
        <f t="shared" si="79"/>
        <v/>
      </c>
      <c r="R435" s="58" t="str">
        <f t="shared" si="80"/>
        <v/>
      </c>
      <c r="S435" s="51"/>
    </row>
    <row r="436" spans="1:19" s="44" customFormat="1">
      <c r="A436" s="15"/>
      <c r="B436" s="75"/>
      <c r="C436" s="18" t="str">
        <f>IF(B436="","",VLOOKUP(B436,'Tabla de proceso'!$B$6:$G$28,2,))</f>
        <v/>
      </c>
      <c r="D436" s="17" t="str">
        <f>IF(B436="","",VLOOKUP(B436,'Tabla de proceso'!$B$5:$G$28,3,0))</f>
        <v/>
      </c>
      <c r="E436" s="13" t="str">
        <f t="shared" si="81"/>
        <v/>
      </c>
      <c r="F436" s="13" t="str">
        <f t="shared" si="82"/>
        <v/>
      </c>
      <c r="G436" s="13" t="str">
        <f t="shared" si="83"/>
        <v/>
      </c>
      <c r="H436" s="13" t="e">
        <f t="shared" si="84"/>
        <v>#VALUE!</v>
      </c>
      <c r="I436" s="47"/>
      <c r="J436" s="16">
        <f t="shared" si="74"/>
        <v>0</v>
      </c>
      <c r="K436" s="45" t="str">
        <f t="shared" si="75"/>
        <v>sábado</v>
      </c>
      <c r="L436" s="48"/>
      <c r="M436" s="50"/>
      <c r="N436" s="52">
        <f t="shared" si="76"/>
        <v>0</v>
      </c>
      <c r="O436" s="52">
        <f t="shared" si="77"/>
        <v>0</v>
      </c>
      <c r="P436" s="53">
        <f t="shared" si="78"/>
        <v>0</v>
      </c>
      <c r="Q436" s="54" t="str">
        <f t="shared" si="79"/>
        <v/>
      </c>
      <c r="R436" s="58" t="str">
        <f t="shared" si="80"/>
        <v/>
      </c>
      <c r="S436" s="51"/>
    </row>
    <row r="437" spans="1:19" s="44" customFormat="1">
      <c r="A437" s="15"/>
      <c r="B437" s="75"/>
      <c r="C437" s="18" t="str">
        <f>IF(B437="","",VLOOKUP(B437,'Tabla de proceso'!$B$6:$G$28,2,))</f>
        <v/>
      </c>
      <c r="D437" s="17" t="str">
        <f>IF(B437="","",VLOOKUP(B437,'Tabla de proceso'!$B$5:$G$28,3,0))</f>
        <v/>
      </c>
      <c r="E437" s="13" t="str">
        <f t="shared" si="81"/>
        <v/>
      </c>
      <c r="F437" s="13" t="str">
        <f t="shared" si="82"/>
        <v/>
      </c>
      <c r="G437" s="13" t="str">
        <f t="shared" si="83"/>
        <v/>
      </c>
      <c r="H437" s="13" t="e">
        <f t="shared" si="84"/>
        <v>#VALUE!</v>
      </c>
      <c r="I437" s="47"/>
      <c r="J437" s="16">
        <f t="shared" si="74"/>
        <v>0</v>
      </c>
      <c r="K437" s="45" t="str">
        <f t="shared" si="75"/>
        <v>sábado</v>
      </c>
      <c r="L437" s="48"/>
      <c r="M437" s="50"/>
      <c r="N437" s="52">
        <f t="shared" si="76"/>
        <v>0</v>
      </c>
      <c r="O437" s="52">
        <f t="shared" si="77"/>
        <v>0</v>
      </c>
      <c r="P437" s="53">
        <f t="shared" si="78"/>
        <v>0</v>
      </c>
      <c r="Q437" s="54" t="str">
        <f t="shared" si="79"/>
        <v/>
      </c>
      <c r="R437" s="58" t="str">
        <f t="shared" si="80"/>
        <v/>
      </c>
      <c r="S437" s="51"/>
    </row>
    <row r="438" spans="1:19" s="44" customFormat="1">
      <c r="A438" s="15"/>
      <c r="B438" s="75"/>
      <c r="C438" s="18" t="str">
        <f>IF(B438="","",VLOOKUP(B438,'Tabla de proceso'!$B$6:$G$28,2,))</f>
        <v/>
      </c>
      <c r="D438" s="17" t="str">
        <f>IF(B438="","",VLOOKUP(B438,'Tabla de proceso'!$B$5:$G$28,3,0))</f>
        <v/>
      </c>
      <c r="E438" s="13" t="str">
        <f t="shared" si="81"/>
        <v/>
      </c>
      <c r="F438" s="13" t="str">
        <f t="shared" si="82"/>
        <v/>
      </c>
      <c r="G438" s="13" t="str">
        <f t="shared" si="83"/>
        <v/>
      </c>
      <c r="H438" s="13" t="e">
        <f t="shared" si="84"/>
        <v>#VALUE!</v>
      </c>
      <c r="I438" s="47"/>
      <c r="J438" s="16">
        <f t="shared" si="74"/>
        <v>0</v>
      </c>
      <c r="K438" s="45" t="str">
        <f t="shared" si="75"/>
        <v>sábado</v>
      </c>
      <c r="L438" s="48"/>
      <c r="M438" s="50"/>
      <c r="N438" s="52">
        <f t="shared" si="76"/>
        <v>0</v>
      </c>
      <c r="O438" s="52">
        <f t="shared" si="77"/>
        <v>0</v>
      </c>
      <c r="P438" s="53">
        <f t="shared" si="78"/>
        <v>0</v>
      </c>
      <c r="Q438" s="54" t="str">
        <f t="shared" si="79"/>
        <v/>
      </c>
      <c r="R438" s="58" t="str">
        <f t="shared" si="80"/>
        <v/>
      </c>
      <c r="S438" s="51"/>
    </row>
    <row r="439" spans="1:19" s="44" customFormat="1">
      <c r="A439" s="15"/>
      <c r="B439" s="75"/>
      <c r="C439" s="18" t="str">
        <f>IF(B439="","",VLOOKUP(B439,'Tabla de proceso'!$B$6:$G$28,2,))</f>
        <v/>
      </c>
      <c r="D439" s="17" t="str">
        <f>IF(B439="","",VLOOKUP(B439,'Tabla de proceso'!$B$5:$G$28,3,0))</f>
        <v/>
      </c>
      <c r="E439" s="13" t="str">
        <f t="shared" si="81"/>
        <v/>
      </c>
      <c r="F439" s="13" t="str">
        <f t="shared" si="82"/>
        <v/>
      </c>
      <c r="G439" s="13" t="str">
        <f t="shared" si="83"/>
        <v/>
      </c>
      <c r="H439" s="13" t="e">
        <f t="shared" si="84"/>
        <v>#VALUE!</v>
      </c>
      <c r="I439" s="47"/>
      <c r="J439" s="16">
        <f t="shared" si="74"/>
        <v>0</v>
      </c>
      <c r="K439" s="45" t="str">
        <f t="shared" si="75"/>
        <v>sábado</v>
      </c>
      <c r="L439" s="48"/>
      <c r="M439" s="50"/>
      <c r="N439" s="52">
        <f t="shared" si="76"/>
        <v>0</v>
      </c>
      <c r="O439" s="52">
        <f t="shared" si="77"/>
        <v>0</v>
      </c>
      <c r="P439" s="53">
        <f t="shared" si="78"/>
        <v>0</v>
      </c>
      <c r="Q439" s="54" t="str">
        <f t="shared" si="79"/>
        <v/>
      </c>
      <c r="R439" s="58" t="str">
        <f t="shared" si="80"/>
        <v/>
      </c>
      <c r="S439" s="51"/>
    </row>
    <row r="440" spans="1:19" s="44" customFormat="1">
      <c r="A440" s="15"/>
      <c r="B440" s="75"/>
      <c r="C440" s="18" t="str">
        <f>IF(B440="","",VLOOKUP(B440,'Tabla de proceso'!$B$6:$G$28,2,))</f>
        <v/>
      </c>
      <c r="D440" s="17" t="str">
        <f>IF(B440="","",VLOOKUP(B440,'Tabla de proceso'!$B$5:$G$28,3,0))</f>
        <v/>
      </c>
      <c r="E440" s="13" t="str">
        <f t="shared" si="81"/>
        <v/>
      </c>
      <c r="F440" s="13" t="str">
        <f t="shared" si="82"/>
        <v/>
      </c>
      <c r="G440" s="13" t="str">
        <f t="shared" si="83"/>
        <v/>
      </c>
      <c r="H440" s="13" t="e">
        <f t="shared" si="84"/>
        <v>#VALUE!</v>
      </c>
      <c r="I440" s="47"/>
      <c r="J440" s="16">
        <f t="shared" si="74"/>
        <v>0</v>
      </c>
      <c r="K440" s="45" t="str">
        <f t="shared" si="75"/>
        <v>sábado</v>
      </c>
      <c r="L440" s="48"/>
      <c r="M440" s="50"/>
      <c r="N440" s="52">
        <f t="shared" si="76"/>
        <v>0</v>
      </c>
      <c r="O440" s="52">
        <f t="shared" si="77"/>
        <v>0</v>
      </c>
      <c r="P440" s="53">
        <f t="shared" si="78"/>
        <v>0</v>
      </c>
      <c r="Q440" s="54" t="str">
        <f t="shared" si="79"/>
        <v/>
      </c>
      <c r="R440" s="58" t="str">
        <f t="shared" si="80"/>
        <v/>
      </c>
      <c r="S440" s="51"/>
    </row>
    <row r="441" spans="1:19" s="44" customFormat="1">
      <c r="A441" s="15"/>
      <c r="B441" s="75"/>
      <c r="C441" s="18" t="str">
        <f>IF(B441="","",VLOOKUP(B441,'Tabla de proceso'!$B$6:$G$28,2,))</f>
        <v/>
      </c>
      <c r="D441" s="17" t="str">
        <f>IF(B441="","",VLOOKUP(B441,'Tabla de proceso'!$B$5:$G$28,3,0))</f>
        <v/>
      </c>
      <c r="E441" s="13" t="str">
        <f t="shared" si="81"/>
        <v/>
      </c>
      <c r="F441" s="13" t="str">
        <f t="shared" si="82"/>
        <v/>
      </c>
      <c r="G441" s="13" t="str">
        <f t="shared" si="83"/>
        <v/>
      </c>
      <c r="H441" s="13" t="e">
        <f t="shared" si="84"/>
        <v>#VALUE!</v>
      </c>
      <c r="I441" s="47"/>
      <c r="J441" s="16">
        <f t="shared" si="74"/>
        <v>0</v>
      </c>
      <c r="K441" s="45" t="str">
        <f t="shared" si="75"/>
        <v>sábado</v>
      </c>
      <c r="L441" s="22"/>
      <c r="M441" s="50"/>
      <c r="N441" s="52">
        <f t="shared" si="76"/>
        <v>0</v>
      </c>
      <c r="O441" s="52">
        <f t="shared" si="77"/>
        <v>0</v>
      </c>
      <c r="P441" s="53">
        <f t="shared" si="78"/>
        <v>0</v>
      </c>
      <c r="Q441" s="54" t="str">
        <f t="shared" si="79"/>
        <v/>
      </c>
      <c r="R441" s="58" t="str">
        <f t="shared" si="80"/>
        <v/>
      </c>
      <c r="S441" s="23"/>
    </row>
    <row r="442" spans="1:19" s="44" customFormat="1">
      <c r="A442" s="15"/>
      <c r="B442" s="75"/>
      <c r="C442" s="18" t="str">
        <f>IF(B442="","",VLOOKUP(B442,'Tabla de proceso'!$B$6:$G$28,2,))</f>
        <v/>
      </c>
      <c r="D442" s="17" t="str">
        <f>IF(B442="","",VLOOKUP(B442,'Tabla de proceso'!$B$5:$G$28,3,0))</f>
        <v/>
      </c>
      <c r="E442" s="13" t="str">
        <f t="shared" si="81"/>
        <v/>
      </c>
      <c r="F442" s="13" t="str">
        <f t="shared" si="82"/>
        <v/>
      </c>
      <c r="G442" s="13" t="str">
        <f t="shared" si="83"/>
        <v/>
      </c>
      <c r="H442" s="13" t="e">
        <f t="shared" si="84"/>
        <v>#VALUE!</v>
      </c>
      <c r="I442" s="47"/>
      <c r="J442" s="16">
        <f t="shared" si="74"/>
        <v>0</v>
      </c>
      <c r="K442" s="45" t="str">
        <f t="shared" si="75"/>
        <v>sábado</v>
      </c>
      <c r="L442" s="22"/>
      <c r="M442" s="50"/>
      <c r="N442" s="52">
        <f t="shared" si="76"/>
        <v>0</v>
      </c>
      <c r="O442" s="52">
        <f t="shared" si="77"/>
        <v>0</v>
      </c>
      <c r="P442" s="53">
        <f t="shared" si="78"/>
        <v>0</v>
      </c>
      <c r="Q442" s="54" t="str">
        <f t="shared" si="79"/>
        <v/>
      </c>
      <c r="R442" s="58" t="str">
        <f t="shared" si="80"/>
        <v/>
      </c>
      <c r="S442" s="23"/>
    </row>
    <row r="443" spans="1:19" s="44" customFormat="1">
      <c r="A443" s="15"/>
      <c r="B443" s="75"/>
      <c r="C443" s="18" t="str">
        <f>IF(B443="","",VLOOKUP(B443,'Tabla de proceso'!$B$6:$G$28,2,))</f>
        <v/>
      </c>
      <c r="D443" s="17" t="str">
        <f>IF(B443="","",VLOOKUP(B443,'Tabla de proceso'!$B$5:$G$28,3,0))</f>
        <v/>
      </c>
      <c r="E443" s="13" t="str">
        <f t="shared" si="81"/>
        <v/>
      </c>
      <c r="F443" s="13" t="str">
        <f t="shared" si="82"/>
        <v/>
      </c>
      <c r="G443" s="13" t="str">
        <f t="shared" si="83"/>
        <v/>
      </c>
      <c r="H443" s="13" t="e">
        <f t="shared" si="84"/>
        <v>#VALUE!</v>
      </c>
      <c r="I443" s="47"/>
      <c r="J443" s="16">
        <f t="shared" si="74"/>
        <v>0</v>
      </c>
      <c r="K443" s="45" t="str">
        <f t="shared" si="75"/>
        <v>sábado</v>
      </c>
      <c r="L443" s="22"/>
      <c r="M443" s="50"/>
      <c r="N443" s="52">
        <f t="shared" si="76"/>
        <v>0</v>
      </c>
      <c r="O443" s="52">
        <f t="shared" si="77"/>
        <v>0</v>
      </c>
      <c r="P443" s="53">
        <f t="shared" si="78"/>
        <v>0</v>
      </c>
      <c r="Q443" s="54" t="str">
        <f t="shared" si="79"/>
        <v/>
      </c>
      <c r="R443" s="58" t="str">
        <f t="shared" si="80"/>
        <v/>
      </c>
      <c r="S443" s="23"/>
    </row>
    <row r="444" spans="1:19" s="44" customFormat="1">
      <c r="A444" s="15"/>
      <c r="B444" s="75"/>
      <c r="C444" s="18" t="str">
        <f>IF(B444="","",VLOOKUP(B444,'Tabla de proceso'!$B$6:$G$28,2,))</f>
        <v/>
      </c>
      <c r="D444" s="17" t="str">
        <f>IF(B444="","",VLOOKUP(B444,'Tabla de proceso'!$B$5:$G$28,3,0))</f>
        <v/>
      </c>
      <c r="E444" s="13" t="str">
        <f t="shared" si="81"/>
        <v/>
      </c>
      <c r="F444" s="13" t="str">
        <f t="shared" si="82"/>
        <v/>
      </c>
      <c r="G444" s="13" t="str">
        <f t="shared" si="83"/>
        <v/>
      </c>
      <c r="H444" s="13" t="e">
        <f t="shared" si="84"/>
        <v>#VALUE!</v>
      </c>
      <c r="I444" s="47"/>
      <c r="J444" s="16">
        <f t="shared" si="74"/>
        <v>0</v>
      </c>
      <c r="K444" s="45" t="str">
        <f t="shared" si="75"/>
        <v>sábado</v>
      </c>
      <c r="L444" s="22"/>
      <c r="M444" s="50"/>
      <c r="N444" s="52">
        <f t="shared" si="76"/>
        <v>0</v>
      </c>
      <c r="O444" s="52">
        <f t="shared" si="77"/>
        <v>0</v>
      </c>
      <c r="P444" s="53">
        <f t="shared" si="78"/>
        <v>0</v>
      </c>
      <c r="Q444" s="54" t="str">
        <f t="shared" si="79"/>
        <v/>
      </c>
      <c r="R444" s="58" t="str">
        <f t="shared" si="80"/>
        <v/>
      </c>
      <c r="S444" s="23"/>
    </row>
    <row r="445" spans="1:19" s="44" customFormat="1">
      <c r="A445" s="15"/>
      <c r="B445" s="75"/>
      <c r="C445" s="18" t="str">
        <f>IF(B445="","",VLOOKUP(B445,'Tabla de proceso'!$B$6:$G$28,2,))</f>
        <v/>
      </c>
      <c r="D445" s="17" t="str">
        <f>IF(B445="","",VLOOKUP(B445,'Tabla de proceso'!$B$5:$G$28,3,0))</f>
        <v/>
      </c>
      <c r="E445" s="13" t="str">
        <f t="shared" si="81"/>
        <v/>
      </c>
      <c r="F445" s="13" t="str">
        <f t="shared" si="82"/>
        <v/>
      </c>
      <c r="G445" s="13" t="str">
        <f t="shared" si="83"/>
        <v/>
      </c>
      <c r="H445" s="13" t="e">
        <f t="shared" si="84"/>
        <v>#VALUE!</v>
      </c>
      <c r="I445" s="47"/>
      <c r="J445" s="16">
        <f t="shared" si="74"/>
        <v>0</v>
      </c>
      <c r="K445" s="45" t="str">
        <f t="shared" si="75"/>
        <v>sábado</v>
      </c>
      <c r="L445" s="22"/>
      <c r="M445" s="50"/>
      <c r="N445" s="52">
        <f t="shared" si="76"/>
        <v>0</v>
      </c>
      <c r="O445" s="52">
        <f t="shared" si="77"/>
        <v>0</v>
      </c>
      <c r="P445" s="53">
        <f t="shared" si="78"/>
        <v>0</v>
      </c>
      <c r="Q445" s="54" t="str">
        <f t="shared" si="79"/>
        <v/>
      </c>
      <c r="R445" s="58" t="str">
        <f t="shared" si="80"/>
        <v/>
      </c>
      <c r="S445" s="23"/>
    </row>
    <row r="446" spans="1:19" s="44" customFormat="1">
      <c r="A446" s="15"/>
      <c r="B446" s="75"/>
      <c r="C446" s="18" t="str">
        <f>IF(B446="","",VLOOKUP(B446,'Tabla de proceso'!$B$6:$G$28,2,))</f>
        <v/>
      </c>
      <c r="D446" s="17" t="str">
        <f>IF(B446="","",VLOOKUP(B446,'Tabla de proceso'!$B$5:$G$28,3,0))</f>
        <v/>
      </c>
      <c r="E446" s="13" t="str">
        <f t="shared" si="81"/>
        <v/>
      </c>
      <c r="F446" s="13" t="str">
        <f t="shared" si="82"/>
        <v/>
      </c>
      <c r="G446" s="13" t="str">
        <f t="shared" si="83"/>
        <v/>
      </c>
      <c r="H446" s="13" t="e">
        <f t="shared" si="84"/>
        <v>#VALUE!</v>
      </c>
      <c r="I446" s="47"/>
      <c r="J446" s="16">
        <f t="shared" si="74"/>
        <v>0</v>
      </c>
      <c r="K446" s="45" t="str">
        <f t="shared" si="75"/>
        <v>sábado</v>
      </c>
      <c r="L446" s="22"/>
      <c r="M446" s="50"/>
      <c r="N446" s="52">
        <f t="shared" si="76"/>
        <v>0</v>
      </c>
      <c r="O446" s="52">
        <f t="shared" si="77"/>
        <v>0</v>
      </c>
      <c r="P446" s="53">
        <f t="shared" si="78"/>
        <v>0</v>
      </c>
      <c r="Q446" s="54" t="str">
        <f t="shared" si="79"/>
        <v/>
      </c>
      <c r="R446" s="58" t="str">
        <f t="shared" si="80"/>
        <v/>
      </c>
      <c r="S446" s="23"/>
    </row>
    <row r="447" spans="1:19" s="44" customFormat="1">
      <c r="A447" s="15"/>
      <c r="B447" s="75"/>
      <c r="C447" s="18" t="str">
        <f>IF(B447="","",VLOOKUP(B447,'Tabla de proceso'!$B$6:$G$28,2,))</f>
        <v/>
      </c>
      <c r="D447" s="17" t="str">
        <f>IF(B447="","",VLOOKUP(B447,'Tabla de proceso'!$B$5:$G$28,3,0))</f>
        <v/>
      </c>
      <c r="E447" s="13" t="str">
        <f t="shared" si="81"/>
        <v/>
      </c>
      <c r="F447" s="13" t="str">
        <f t="shared" si="82"/>
        <v/>
      </c>
      <c r="G447" s="13" t="str">
        <f t="shared" si="83"/>
        <v/>
      </c>
      <c r="H447" s="13" t="e">
        <f t="shared" si="84"/>
        <v>#VALUE!</v>
      </c>
      <c r="I447" s="47"/>
      <c r="J447" s="16">
        <f t="shared" si="74"/>
        <v>0</v>
      </c>
      <c r="K447" s="45" t="str">
        <f t="shared" si="75"/>
        <v>sábado</v>
      </c>
      <c r="L447" s="22"/>
      <c r="M447" s="50"/>
      <c r="N447" s="52">
        <f t="shared" si="76"/>
        <v>0</v>
      </c>
      <c r="O447" s="52">
        <f t="shared" si="77"/>
        <v>0</v>
      </c>
      <c r="P447" s="53">
        <f t="shared" si="78"/>
        <v>0</v>
      </c>
      <c r="Q447" s="54" t="str">
        <f t="shared" si="79"/>
        <v/>
      </c>
      <c r="R447" s="58" t="str">
        <f t="shared" si="80"/>
        <v/>
      </c>
      <c r="S447" s="23"/>
    </row>
    <row r="448" spans="1:19" s="44" customFormat="1">
      <c r="A448" s="15"/>
      <c r="B448" s="75"/>
      <c r="C448" s="18" t="str">
        <f>IF(B448="","",VLOOKUP(B448,'Tabla de proceso'!$B$6:$G$28,2,))</f>
        <v/>
      </c>
      <c r="D448" s="17" t="str">
        <f>IF(B448="","",VLOOKUP(B448,'Tabla de proceso'!$B$5:$G$28,3,0))</f>
        <v/>
      </c>
      <c r="E448" s="13" t="str">
        <f t="shared" si="81"/>
        <v/>
      </c>
      <c r="F448" s="13" t="str">
        <f t="shared" si="82"/>
        <v/>
      </c>
      <c r="G448" s="13" t="str">
        <f t="shared" si="83"/>
        <v/>
      </c>
      <c r="H448" s="13" t="e">
        <f t="shared" si="84"/>
        <v>#VALUE!</v>
      </c>
      <c r="I448" s="47"/>
      <c r="J448" s="16">
        <f t="shared" si="74"/>
        <v>0</v>
      </c>
      <c r="K448" s="45" t="str">
        <f t="shared" si="75"/>
        <v>sábado</v>
      </c>
      <c r="L448" s="22"/>
      <c r="M448" s="50"/>
      <c r="N448" s="52">
        <f t="shared" si="76"/>
        <v>0</v>
      </c>
      <c r="O448" s="52">
        <f t="shared" si="77"/>
        <v>0</v>
      </c>
      <c r="P448" s="53">
        <f t="shared" si="78"/>
        <v>0</v>
      </c>
      <c r="Q448" s="54" t="str">
        <f t="shared" si="79"/>
        <v/>
      </c>
      <c r="R448" s="58" t="str">
        <f t="shared" si="80"/>
        <v/>
      </c>
      <c r="S448" s="23"/>
    </row>
    <row r="449" spans="1:19" s="44" customFormat="1">
      <c r="A449" s="15"/>
      <c r="B449" s="75"/>
      <c r="C449" s="18" t="str">
        <f>IF(B449="","",VLOOKUP(B449,'Tabla de proceso'!$B$6:$G$28,2,))</f>
        <v/>
      </c>
      <c r="D449" s="17" t="str">
        <f>IF(B449="","",VLOOKUP(B449,'Tabla de proceso'!$B$5:$G$28,3,0))</f>
        <v/>
      </c>
      <c r="E449" s="13" t="str">
        <f t="shared" si="81"/>
        <v/>
      </c>
      <c r="F449" s="13" t="str">
        <f t="shared" si="82"/>
        <v/>
      </c>
      <c r="G449" s="13" t="str">
        <f t="shared" si="83"/>
        <v/>
      </c>
      <c r="H449" s="13" t="e">
        <f t="shared" si="84"/>
        <v>#VALUE!</v>
      </c>
      <c r="I449" s="47"/>
      <c r="J449" s="16">
        <f t="shared" si="74"/>
        <v>0</v>
      </c>
      <c r="K449" s="45" t="str">
        <f t="shared" si="75"/>
        <v>sábado</v>
      </c>
      <c r="L449" s="22"/>
      <c r="M449" s="50"/>
      <c r="N449" s="52">
        <f t="shared" si="76"/>
        <v>0</v>
      </c>
      <c r="O449" s="52">
        <f t="shared" si="77"/>
        <v>0</v>
      </c>
      <c r="P449" s="53">
        <f t="shared" si="78"/>
        <v>0</v>
      </c>
      <c r="Q449" s="54" t="str">
        <f t="shared" si="79"/>
        <v/>
      </c>
      <c r="R449" s="58" t="str">
        <f t="shared" si="80"/>
        <v/>
      </c>
      <c r="S449" s="23"/>
    </row>
    <row r="450" spans="1:19" s="44" customFormat="1">
      <c r="A450" s="15"/>
      <c r="B450" s="75"/>
      <c r="C450" s="18" t="str">
        <f>IF(B450="","",VLOOKUP(B450,'Tabla de proceso'!$B$6:$G$28,2,))</f>
        <v/>
      </c>
      <c r="D450" s="17" t="str">
        <f>IF(B450="","",VLOOKUP(B450,'Tabla de proceso'!$B$5:$G$28,3,0))</f>
        <v/>
      </c>
      <c r="E450" s="13" t="str">
        <f t="shared" si="81"/>
        <v/>
      </c>
      <c r="F450" s="13" t="str">
        <f t="shared" si="82"/>
        <v/>
      </c>
      <c r="G450" s="13" t="str">
        <f t="shared" si="83"/>
        <v/>
      </c>
      <c r="H450" s="13" t="e">
        <f t="shared" si="84"/>
        <v>#VALUE!</v>
      </c>
      <c r="I450" s="47"/>
      <c r="J450" s="16">
        <f t="shared" si="74"/>
        <v>0</v>
      </c>
      <c r="K450" s="45" t="str">
        <f t="shared" si="75"/>
        <v>sábado</v>
      </c>
      <c r="L450" s="22"/>
      <c r="M450" s="50"/>
      <c r="N450" s="52">
        <f t="shared" si="76"/>
        <v>0</v>
      </c>
      <c r="O450" s="52">
        <f t="shared" si="77"/>
        <v>0</v>
      </c>
      <c r="P450" s="53">
        <f t="shared" si="78"/>
        <v>0</v>
      </c>
      <c r="Q450" s="54" t="str">
        <f t="shared" si="79"/>
        <v/>
      </c>
      <c r="R450" s="58" t="str">
        <f t="shared" si="80"/>
        <v/>
      </c>
      <c r="S450" s="23"/>
    </row>
    <row r="451" spans="1:19" s="44" customFormat="1">
      <c r="A451" s="15"/>
      <c r="B451" s="75"/>
      <c r="C451" s="18" t="str">
        <f>IF(B451="","",VLOOKUP(B451,'Tabla de proceso'!$B$6:$G$28,2,))</f>
        <v/>
      </c>
      <c r="D451" s="17" t="str">
        <f>IF(B451="","",VLOOKUP(B451,'Tabla de proceso'!$B$5:$G$28,3,0))</f>
        <v/>
      </c>
      <c r="E451" s="13" t="str">
        <f t="shared" ref="E451:E482" si="85">D451</f>
        <v/>
      </c>
      <c r="F451" s="13" t="str">
        <f t="shared" ref="F451:F482" si="86">IF(E451="","",+$E451/9)</f>
        <v/>
      </c>
      <c r="G451" s="13" t="str">
        <f t="shared" ref="G451:G462" si="87">IF(E451="","",($E451/60)/9)</f>
        <v/>
      </c>
      <c r="H451" s="13" t="e">
        <f t="shared" ref="H451:H462" si="88">+$E451*5</f>
        <v>#VALUE!</v>
      </c>
      <c r="I451" s="47"/>
      <c r="J451" s="16">
        <f t="shared" si="74"/>
        <v>0</v>
      </c>
      <c r="K451" s="45" t="str">
        <f t="shared" si="75"/>
        <v>sábado</v>
      </c>
      <c r="L451" s="22"/>
      <c r="M451" s="50"/>
      <c r="N451" s="52">
        <f t="shared" si="76"/>
        <v>0</v>
      </c>
      <c r="O451" s="52">
        <f t="shared" si="77"/>
        <v>0</v>
      </c>
      <c r="P451" s="53">
        <f t="shared" si="78"/>
        <v>0</v>
      </c>
      <c r="Q451" s="54" t="str">
        <f t="shared" si="79"/>
        <v/>
      </c>
      <c r="R451" s="58" t="str">
        <f t="shared" si="80"/>
        <v/>
      </c>
      <c r="S451" s="23"/>
    </row>
    <row r="452" spans="1:19" s="44" customFormat="1">
      <c r="A452" s="15"/>
      <c r="B452" s="75"/>
      <c r="C452" s="18" t="str">
        <f>IF(B452="","",VLOOKUP(B452,'Tabla de proceso'!$B$6:$G$28,2,))</f>
        <v/>
      </c>
      <c r="D452" s="17" t="str">
        <f>IF(B452="","",VLOOKUP(B452,'Tabla de proceso'!$B$5:$G$28,3,0))</f>
        <v/>
      </c>
      <c r="E452" s="13" t="str">
        <f t="shared" si="85"/>
        <v/>
      </c>
      <c r="F452" s="13" t="str">
        <f t="shared" si="86"/>
        <v/>
      </c>
      <c r="G452" s="13" t="str">
        <f t="shared" si="87"/>
        <v/>
      </c>
      <c r="H452" s="13" t="e">
        <f t="shared" si="88"/>
        <v>#VALUE!</v>
      </c>
      <c r="I452" s="47"/>
      <c r="J452" s="16">
        <f t="shared" si="74"/>
        <v>0</v>
      </c>
      <c r="K452" s="45" t="str">
        <f t="shared" si="75"/>
        <v>sábado</v>
      </c>
      <c r="L452" s="22"/>
      <c r="M452" s="50"/>
      <c r="N452" s="52">
        <f t="shared" si="76"/>
        <v>0</v>
      </c>
      <c r="O452" s="52">
        <f t="shared" si="77"/>
        <v>0</v>
      </c>
      <c r="P452" s="53">
        <f t="shared" si="78"/>
        <v>0</v>
      </c>
      <c r="Q452" s="54" t="str">
        <f t="shared" si="79"/>
        <v/>
      </c>
      <c r="R452" s="58" t="str">
        <f t="shared" si="80"/>
        <v/>
      </c>
      <c r="S452" s="23"/>
    </row>
    <row r="453" spans="1:19" s="44" customFormat="1">
      <c r="A453" s="15"/>
      <c r="B453" s="75"/>
      <c r="C453" s="18" t="str">
        <f>IF(B453="","",VLOOKUP(B453,'Tabla de proceso'!$B$6:$G$28,2,))</f>
        <v/>
      </c>
      <c r="D453" s="17" t="str">
        <f>IF(B453="","",VLOOKUP(B453,'Tabla de proceso'!$B$5:$G$28,3,0))</f>
        <v/>
      </c>
      <c r="E453" s="13" t="str">
        <f t="shared" si="85"/>
        <v/>
      </c>
      <c r="F453" s="13" t="str">
        <f t="shared" si="86"/>
        <v/>
      </c>
      <c r="G453" s="13" t="str">
        <f t="shared" si="87"/>
        <v/>
      </c>
      <c r="H453" s="13" t="e">
        <f t="shared" si="88"/>
        <v>#VALUE!</v>
      </c>
      <c r="I453" s="47"/>
      <c r="J453" s="16">
        <f t="shared" si="74"/>
        <v>0</v>
      </c>
      <c r="K453" s="45" t="str">
        <f t="shared" si="75"/>
        <v>sábado</v>
      </c>
      <c r="L453" s="22"/>
      <c r="M453" s="50"/>
      <c r="N453" s="52">
        <f t="shared" si="76"/>
        <v>0</v>
      </c>
      <c r="O453" s="52">
        <f t="shared" si="77"/>
        <v>0</v>
      </c>
      <c r="P453" s="53">
        <f t="shared" si="78"/>
        <v>0</v>
      </c>
      <c r="Q453" s="54" t="str">
        <f t="shared" si="79"/>
        <v/>
      </c>
      <c r="R453" s="58" t="str">
        <f t="shared" si="80"/>
        <v/>
      </c>
      <c r="S453" s="23"/>
    </row>
    <row r="454" spans="1:19" s="44" customFormat="1">
      <c r="A454" s="15"/>
      <c r="B454" s="75"/>
      <c r="C454" s="18" t="str">
        <f>IF(B454="","",VLOOKUP(B454,'Tabla de proceso'!$B$6:$G$28,2,))</f>
        <v/>
      </c>
      <c r="D454" s="17" t="str">
        <f>IF(B454="","",VLOOKUP(B454,'Tabla de proceso'!$B$5:$G$28,3,0))</f>
        <v/>
      </c>
      <c r="E454" s="13" t="str">
        <f t="shared" si="85"/>
        <v/>
      </c>
      <c r="F454" s="13" t="str">
        <f t="shared" si="86"/>
        <v/>
      </c>
      <c r="G454" s="13" t="str">
        <f t="shared" si="87"/>
        <v/>
      </c>
      <c r="H454" s="13" t="e">
        <f t="shared" si="88"/>
        <v>#VALUE!</v>
      </c>
      <c r="I454" s="47"/>
      <c r="J454" s="16">
        <f t="shared" ref="J454:J517" si="89">+WEEKNUM(I454)</f>
        <v>0</v>
      </c>
      <c r="K454" s="45" t="str">
        <f t="shared" ref="K454:K462" si="90">+TEXT($I454,"dddd")</f>
        <v>sábado</v>
      </c>
      <c r="L454" s="22"/>
      <c r="M454" s="50"/>
      <c r="N454" s="52">
        <f t="shared" ref="N454:N462" si="91">+HOUR($M454)</f>
        <v>0</v>
      </c>
      <c r="O454" s="52">
        <f t="shared" ref="O454:O462" si="92">+MINUTE($M454)</f>
        <v>0</v>
      </c>
      <c r="P454" s="53">
        <f t="shared" ref="P454:P462" si="93">+($N454*60)+$O454</f>
        <v>0</v>
      </c>
      <c r="Q454" s="54" t="str">
        <f t="shared" ref="Q454:Q462" si="94">IF(G454="","",+$G454*$P454)</f>
        <v/>
      </c>
      <c r="R454" s="58" t="str">
        <f t="shared" ref="R454:R462" si="95">IF($Q454="","",$L454/$Q454)</f>
        <v/>
      </c>
      <c r="S454" s="23"/>
    </row>
    <row r="455" spans="1:19" s="44" customFormat="1">
      <c r="A455" s="15"/>
      <c r="B455" s="75"/>
      <c r="C455" s="18" t="str">
        <f>IF(B455="","",VLOOKUP(B455,'Tabla de proceso'!$B$6:$G$28,2,))</f>
        <v/>
      </c>
      <c r="D455" s="17" t="str">
        <f>IF(B455="","",VLOOKUP(B455,'Tabla de proceso'!$B$5:$G$28,3,0))</f>
        <v/>
      </c>
      <c r="E455" s="13" t="str">
        <f t="shared" si="85"/>
        <v/>
      </c>
      <c r="F455" s="13" t="str">
        <f t="shared" si="86"/>
        <v/>
      </c>
      <c r="G455" s="13" t="str">
        <f t="shared" si="87"/>
        <v/>
      </c>
      <c r="H455" s="13" t="e">
        <f t="shared" si="88"/>
        <v>#VALUE!</v>
      </c>
      <c r="I455" s="47"/>
      <c r="J455" s="16">
        <f t="shared" si="89"/>
        <v>0</v>
      </c>
      <c r="K455" s="45" t="str">
        <f t="shared" si="90"/>
        <v>sábado</v>
      </c>
      <c r="L455" s="22"/>
      <c r="M455" s="50"/>
      <c r="N455" s="52">
        <f t="shared" si="91"/>
        <v>0</v>
      </c>
      <c r="O455" s="52">
        <f t="shared" si="92"/>
        <v>0</v>
      </c>
      <c r="P455" s="53">
        <f t="shared" si="93"/>
        <v>0</v>
      </c>
      <c r="Q455" s="54" t="str">
        <f t="shared" si="94"/>
        <v/>
      </c>
      <c r="R455" s="58" t="str">
        <f t="shared" si="95"/>
        <v/>
      </c>
      <c r="S455" s="23"/>
    </row>
    <row r="456" spans="1:19" s="44" customFormat="1">
      <c r="A456" s="15"/>
      <c r="B456" s="75"/>
      <c r="C456" s="18" t="str">
        <f>IF(B456="","",VLOOKUP(B456,'Tabla de proceso'!$B$6:$G$28,2,))</f>
        <v/>
      </c>
      <c r="D456" s="17" t="str">
        <f>IF(B456="","",VLOOKUP(B456,'Tabla de proceso'!$B$5:$G$28,3,0))</f>
        <v/>
      </c>
      <c r="E456" s="13" t="str">
        <f t="shared" si="85"/>
        <v/>
      </c>
      <c r="F456" s="13" t="str">
        <f t="shared" si="86"/>
        <v/>
      </c>
      <c r="G456" s="13" t="str">
        <f t="shared" si="87"/>
        <v/>
      </c>
      <c r="H456" s="13" t="e">
        <f t="shared" si="88"/>
        <v>#VALUE!</v>
      </c>
      <c r="I456" s="47"/>
      <c r="J456" s="16">
        <f t="shared" si="89"/>
        <v>0</v>
      </c>
      <c r="K456" s="45" t="str">
        <f t="shared" si="90"/>
        <v>sábado</v>
      </c>
      <c r="L456" s="22"/>
      <c r="M456" s="50"/>
      <c r="N456" s="52">
        <f t="shared" si="91"/>
        <v>0</v>
      </c>
      <c r="O456" s="52">
        <f t="shared" si="92"/>
        <v>0</v>
      </c>
      <c r="P456" s="53">
        <f t="shared" si="93"/>
        <v>0</v>
      </c>
      <c r="Q456" s="54" t="str">
        <f t="shared" si="94"/>
        <v/>
      </c>
      <c r="R456" s="58" t="str">
        <f t="shared" si="95"/>
        <v/>
      </c>
      <c r="S456" s="23"/>
    </row>
    <row r="457" spans="1:19" s="44" customFormat="1">
      <c r="A457" s="15"/>
      <c r="B457" s="75"/>
      <c r="C457" s="18" t="str">
        <f>IF(B457="","",VLOOKUP(B457,'Tabla de proceso'!$B$6:$G$28,2,))</f>
        <v/>
      </c>
      <c r="D457" s="17" t="str">
        <f>IF(B457="","",VLOOKUP(B457,'Tabla de proceso'!$B$5:$G$28,3,0))</f>
        <v/>
      </c>
      <c r="E457" s="13" t="str">
        <f t="shared" si="85"/>
        <v/>
      </c>
      <c r="F457" s="13" t="str">
        <f t="shared" si="86"/>
        <v/>
      </c>
      <c r="G457" s="13" t="str">
        <f t="shared" si="87"/>
        <v/>
      </c>
      <c r="H457" s="13" t="e">
        <f t="shared" si="88"/>
        <v>#VALUE!</v>
      </c>
      <c r="I457" s="47"/>
      <c r="J457" s="16">
        <f t="shared" si="89"/>
        <v>0</v>
      </c>
      <c r="K457" s="45" t="str">
        <f t="shared" si="90"/>
        <v>sábado</v>
      </c>
      <c r="L457" s="22"/>
      <c r="M457" s="50"/>
      <c r="N457" s="52">
        <f t="shared" si="91"/>
        <v>0</v>
      </c>
      <c r="O457" s="52">
        <f t="shared" si="92"/>
        <v>0</v>
      </c>
      <c r="P457" s="53">
        <f t="shared" si="93"/>
        <v>0</v>
      </c>
      <c r="Q457" s="54" t="str">
        <f t="shared" si="94"/>
        <v/>
      </c>
      <c r="R457" s="58" t="str">
        <f t="shared" si="95"/>
        <v/>
      </c>
      <c r="S457" s="23"/>
    </row>
    <row r="458" spans="1:19" s="44" customFormat="1">
      <c r="A458" s="15"/>
      <c r="B458" s="75"/>
      <c r="C458" s="18" t="str">
        <f>IF(B458="","",VLOOKUP(B458,'Tabla de proceso'!$B$6:$G$28,2,))</f>
        <v/>
      </c>
      <c r="D458" s="17" t="str">
        <f>IF(B458="","",VLOOKUP(B458,'Tabla de proceso'!$B$5:$G$28,3,0))</f>
        <v/>
      </c>
      <c r="E458" s="13" t="str">
        <f t="shared" si="85"/>
        <v/>
      </c>
      <c r="F458" s="13" t="str">
        <f t="shared" si="86"/>
        <v/>
      </c>
      <c r="G458" s="13" t="str">
        <f t="shared" si="87"/>
        <v/>
      </c>
      <c r="H458" s="13" t="e">
        <f t="shared" si="88"/>
        <v>#VALUE!</v>
      </c>
      <c r="I458" s="47"/>
      <c r="J458" s="16">
        <f t="shared" si="89"/>
        <v>0</v>
      </c>
      <c r="K458" s="45" t="str">
        <f t="shared" si="90"/>
        <v>sábado</v>
      </c>
      <c r="L458" s="22"/>
      <c r="M458" s="50"/>
      <c r="N458" s="52">
        <f t="shared" si="91"/>
        <v>0</v>
      </c>
      <c r="O458" s="52">
        <f t="shared" si="92"/>
        <v>0</v>
      </c>
      <c r="P458" s="53">
        <f t="shared" si="93"/>
        <v>0</v>
      </c>
      <c r="Q458" s="54" t="str">
        <f t="shared" si="94"/>
        <v/>
      </c>
      <c r="R458" s="58" t="str">
        <f t="shared" si="95"/>
        <v/>
      </c>
      <c r="S458" s="23"/>
    </row>
    <row r="459" spans="1:19" s="44" customFormat="1">
      <c r="A459" s="15"/>
      <c r="B459" s="75"/>
      <c r="C459" s="18" t="str">
        <f>IF(B459="","",VLOOKUP(B459,'Tabla de proceso'!$B$6:$G$28,2,))</f>
        <v/>
      </c>
      <c r="D459" s="17" t="str">
        <f>IF(B459="","",VLOOKUP(B459,'Tabla de proceso'!$B$5:$G$28,3,0))</f>
        <v/>
      </c>
      <c r="E459" s="13" t="str">
        <f t="shared" si="85"/>
        <v/>
      </c>
      <c r="F459" s="13" t="str">
        <f t="shared" si="86"/>
        <v/>
      </c>
      <c r="G459" s="13" t="str">
        <f t="shared" si="87"/>
        <v/>
      </c>
      <c r="H459" s="13" t="e">
        <f t="shared" si="88"/>
        <v>#VALUE!</v>
      </c>
      <c r="I459" s="47"/>
      <c r="J459" s="16">
        <f t="shared" si="89"/>
        <v>0</v>
      </c>
      <c r="K459" s="45" t="str">
        <f t="shared" si="90"/>
        <v>sábado</v>
      </c>
      <c r="L459" s="22"/>
      <c r="M459" s="50"/>
      <c r="N459" s="52">
        <f t="shared" si="91"/>
        <v>0</v>
      </c>
      <c r="O459" s="52">
        <f t="shared" si="92"/>
        <v>0</v>
      </c>
      <c r="P459" s="53">
        <f t="shared" si="93"/>
        <v>0</v>
      </c>
      <c r="Q459" s="54" t="str">
        <f t="shared" si="94"/>
        <v/>
      </c>
      <c r="R459" s="58" t="str">
        <f t="shared" si="95"/>
        <v/>
      </c>
      <c r="S459" s="23"/>
    </row>
    <row r="460" spans="1:19" s="44" customFormat="1">
      <c r="A460" s="15"/>
      <c r="B460" s="75"/>
      <c r="C460" s="18" t="str">
        <f>IF(B460="","",VLOOKUP(B460,'Tabla de proceso'!$B$6:$G$28,2,))</f>
        <v/>
      </c>
      <c r="D460" s="17" t="str">
        <f>IF(B460="","",VLOOKUP(B460,'Tabla de proceso'!$B$5:$G$28,3,0))</f>
        <v/>
      </c>
      <c r="E460" s="13" t="str">
        <f t="shared" si="85"/>
        <v/>
      </c>
      <c r="F460" s="13" t="str">
        <f t="shared" si="86"/>
        <v/>
      </c>
      <c r="G460" s="13" t="str">
        <f t="shared" si="87"/>
        <v/>
      </c>
      <c r="H460" s="13" t="e">
        <f t="shared" si="88"/>
        <v>#VALUE!</v>
      </c>
      <c r="I460" s="47"/>
      <c r="J460" s="16">
        <f t="shared" si="89"/>
        <v>0</v>
      </c>
      <c r="K460" s="45" t="str">
        <f t="shared" si="90"/>
        <v>sábado</v>
      </c>
      <c r="L460" s="22"/>
      <c r="M460" s="50"/>
      <c r="N460" s="52">
        <f t="shared" si="91"/>
        <v>0</v>
      </c>
      <c r="O460" s="52">
        <f t="shared" si="92"/>
        <v>0</v>
      </c>
      <c r="P460" s="53">
        <f t="shared" si="93"/>
        <v>0</v>
      </c>
      <c r="Q460" s="54" t="str">
        <f t="shared" si="94"/>
        <v/>
      </c>
      <c r="R460" s="58" t="str">
        <f t="shared" si="95"/>
        <v/>
      </c>
      <c r="S460" s="23"/>
    </row>
    <row r="461" spans="1:19" s="44" customFormat="1">
      <c r="A461" s="15"/>
      <c r="B461" s="75"/>
      <c r="C461" s="18" t="str">
        <f>IF(B461="","",VLOOKUP(B461,'Tabla de proceso'!$B$6:$G$28,2,))</f>
        <v/>
      </c>
      <c r="D461" s="17" t="str">
        <f>IF(B461="","",VLOOKUP(B461,'Tabla de proceso'!$B$5:$G$28,3,0))</f>
        <v/>
      </c>
      <c r="E461" s="13" t="str">
        <f t="shared" si="85"/>
        <v/>
      </c>
      <c r="F461" s="13" t="str">
        <f t="shared" si="86"/>
        <v/>
      </c>
      <c r="G461" s="13" t="str">
        <f t="shared" si="87"/>
        <v/>
      </c>
      <c r="H461" s="13" t="e">
        <f t="shared" si="88"/>
        <v>#VALUE!</v>
      </c>
      <c r="I461" s="47"/>
      <c r="J461" s="16">
        <f t="shared" si="89"/>
        <v>0</v>
      </c>
      <c r="K461" s="45" t="str">
        <f t="shared" si="90"/>
        <v>sábado</v>
      </c>
      <c r="L461" s="22"/>
      <c r="M461" s="50"/>
      <c r="N461" s="52">
        <f t="shared" si="91"/>
        <v>0</v>
      </c>
      <c r="O461" s="52">
        <f t="shared" si="92"/>
        <v>0</v>
      </c>
      <c r="P461" s="53">
        <f t="shared" si="93"/>
        <v>0</v>
      </c>
      <c r="Q461" s="54" t="str">
        <f t="shared" si="94"/>
        <v/>
      </c>
      <c r="R461" s="58" t="str">
        <f t="shared" si="95"/>
        <v/>
      </c>
      <c r="S461" s="23"/>
    </row>
    <row r="462" spans="1:19" s="44" customFormat="1">
      <c r="A462" s="15"/>
      <c r="B462" s="75"/>
      <c r="C462" s="18" t="str">
        <f>IF(B462="","",VLOOKUP(B462,'Tabla de proceso'!$B$6:$G$28,2,))</f>
        <v/>
      </c>
      <c r="D462" s="17" t="str">
        <f>IF(B462="","",VLOOKUP(B462,'Tabla de proceso'!$B$5:$G$28,3,0))</f>
        <v/>
      </c>
      <c r="E462" s="13" t="str">
        <f t="shared" si="85"/>
        <v/>
      </c>
      <c r="F462" s="13" t="str">
        <f t="shared" si="86"/>
        <v/>
      </c>
      <c r="G462" s="13" t="str">
        <f t="shared" si="87"/>
        <v/>
      </c>
      <c r="H462" s="13" t="e">
        <f t="shared" si="88"/>
        <v>#VALUE!</v>
      </c>
      <c r="I462" s="47"/>
      <c r="J462" s="16">
        <f t="shared" si="89"/>
        <v>0</v>
      </c>
      <c r="K462" s="45" t="str">
        <f t="shared" si="90"/>
        <v>sábado</v>
      </c>
      <c r="L462" s="22"/>
      <c r="M462" s="50"/>
      <c r="N462" s="52">
        <f t="shared" si="91"/>
        <v>0</v>
      </c>
      <c r="O462" s="52">
        <f t="shared" si="92"/>
        <v>0</v>
      </c>
      <c r="P462" s="53">
        <f t="shared" si="93"/>
        <v>0</v>
      </c>
      <c r="Q462" s="54" t="str">
        <f t="shared" si="94"/>
        <v/>
      </c>
      <c r="R462" s="58" t="str">
        <f t="shared" si="95"/>
        <v/>
      </c>
      <c r="S462" s="23"/>
    </row>
    <row r="465" spans="18:19">
      <c r="R465" s="59"/>
      <c r="S465" s="59"/>
    </row>
  </sheetData>
  <protectedRanges>
    <protectedRange sqref="B70:B462" name="Rango1_36_1_2"/>
    <protectedRange sqref="B6:B69" name="Rango1_36_1_2_1"/>
  </protectedRanges>
  <autoFilter ref="A5:S462">
    <sortState ref="A6:S462">
      <sortCondition ref="I5:I462"/>
    </sortState>
  </autoFilter>
  <mergeCells count="9">
    <mergeCell ref="G1:K1"/>
    <mergeCell ref="G2:K2"/>
    <mergeCell ref="G3:K3"/>
    <mergeCell ref="G4:K4"/>
    <mergeCell ref="A1:B4"/>
    <mergeCell ref="C1:F1"/>
    <mergeCell ref="C2:F2"/>
    <mergeCell ref="C3:F3"/>
    <mergeCell ref="C4:F4"/>
  </mergeCells>
  <phoneticPr fontId="5" type="noConversion"/>
  <conditionalFormatting sqref="R1:R5 R463:R464 R466:R1048576 R134:R452">
    <cfRule type="cellIs" dxfId="419" priority="2311" operator="between">
      <formula>0.91</formula>
      <formula>5</formula>
    </cfRule>
    <cfRule type="cellIs" dxfId="418" priority="2312" operator="between">
      <formula>0.8</formula>
      <formula>0.91</formula>
    </cfRule>
    <cfRule type="cellIs" dxfId="417" priority="2313" operator="between">
      <formula>0.01</formula>
      <formula>0.8</formula>
    </cfRule>
  </conditionalFormatting>
  <conditionalFormatting sqref="R461:R462">
    <cfRule type="cellIs" dxfId="416" priority="1924" operator="between">
      <formula>0.91</formula>
      <formula>5</formula>
    </cfRule>
    <cfRule type="cellIs" dxfId="415" priority="1925" operator="between">
      <formula>0.8</formula>
      <formula>0.91</formula>
    </cfRule>
    <cfRule type="cellIs" dxfId="414" priority="1926" operator="between">
      <formula>0.01</formula>
      <formula>0.8</formula>
    </cfRule>
  </conditionalFormatting>
  <conditionalFormatting sqref="R460">
    <cfRule type="cellIs" dxfId="413" priority="1921" operator="between">
      <formula>0.91</formula>
      <formula>5</formula>
    </cfRule>
    <cfRule type="cellIs" dxfId="412" priority="1922" operator="between">
      <formula>0.8</formula>
      <formula>0.91</formula>
    </cfRule>
    <cfRule type="cellIs" dxfId="411" priority="1923" operator="between">
      <formula>0.01</formula>
      <formula>0.8</formula>
    </cfRule>
  </conditionalFormatting>
  <conditionalFormatting sqref="R459">
    <cfRule type="cellIs" dxfId="410" priority="1918" operator="between">
      <formula>0.91</formula>
      <formula>5</formula>
    </cfRule>
    <cfRule type="cellIs" dxfId="409" priority="1919" operator="between">
      <formula>0.8</formula>
      <formula>0.91</formula>
    </cfRule>
    <cfRule type="cellIs" dxfId="408" priority="1920" operator="between">
      <formula>0.01</formula>
      <formula>0.8</formula>
    </cfRule>
  </conditionalFormatting>
  <conditionalFormatting sqref="R458">
    <cfRule type="cellIs" dxfId="407" priority="1915" operator="between">
      <formula>0.91</formula>
      <formula>5</formula>
    </cfRule>
    <cfRule type="cellIs" dxfId="406" priority="1916" operator="between">
      <formula>0.8</formula>
      <formula>0.91</formula>
    </cfRule>
    <cfRule type="cellIs" dxfId="405" priority="1917" operator="between">
      <formula>0.01</formula>
      <formula>0.8</formula>
    </cfRule>
  </conditionalFormatting>
  <conditionalFormatting sqref="R457">
    <cfRule type="cellIs" dxfId="404" priority="1912" operator="between">
      <formula>0.91</formula>
      <formula>5</formula>
    </cfRule>
    <cfRule type="cellIs" dxfId="403" priority="1913" operator="between">
      <formula>0.8</formula>
      <formula>0.91</formula>
    </cfRule>
    <cfRule type="cellIs" dxfId="402" priority="1914" operator="between">
      <formula>0.01</formula>
      <formula>0.8</formula>
    </cfRule>
  </conditionalFormatting>
  <conditionalFormatting sqref="R456">
    <cfRule type="cellIs" dxfId="401" priority="1909" operator="between">
      <formula>0.91</formula>
      <formula>5</formula>
    </cfRule>
    <cfRule type="cellIs" dxfId="400" priority="1910" operator="between">
      <formula>0.8</formula>
      <formula>0.91</formula>
    </cfRule>
    <cfRule type="cellIs" dxfId="399" priority="1911" operator="between">
      <formula>0.01</formula>
      <formula>0.8</formula>
    </cfRule>
  </conditionalFormatting>
  <conditionalFormatting sqref="R455">
    <cfRule type="cellIs" dxfId="398" priority="1906" operator="between">
      <formula>0.91</formula>
      <formula>5</formula>
    </cfRule>
    <cfRule type="cellIs" dxfId="397" priority="1907" operator="between">
      <formula>0.8</formula>
      <formula>0.91</formula>
    </cfRule>
    <cfRule type="cellIs" dxfId="396" priority="1908" operator="between">
      <formula>0.01</formula>
      <formula>0.8</formula>
    </cfRule>
  </conditionalFormatting>
  <conditionalFormatting sqref="R454">
    <cfRule type="cellIs" dxfId="395" priority="1903" operator="between">
      <formula>0.91</formula>
      <formula>5</formula>
    </cfRule>
    <cfRule type="cellIs" dxfId="394" priority="1904" operator="between">
      <formula>0.8</formula>
      <formula>0.91</formula>
    </cfRule>
    <cfRule type="cellIs" dxfId="393" priority="1905" operator="between">
      <formula>0.01</formula>
      <formula>0.8</formula>
    </cfRule>
  </conditionalFormatting>
  <conditionalFormatting sqref="R453">
    <cfRule type="cellIs" dxfId="392" priority="1900" operator="between">
      <formula>0.91</formula>
      <formula>5</formula>
    </cfRule>
    <cfRule type="cellIs" dxfId="391" priority="1901" operator="between">
      <formula>0.8</formula>
      <formula>0.91</formula>
    </cfRule>
    <cfRule type="cellIs" dxfId="390" priority="1902" operator="between">
      <formula>0.01</formula>
      <formula>0.8</formula>
    </cfRule>
  </conditionalFormatting>
  <conditionalFormatting sqref="R133">
    <cfRule type="cellIs" dxfId="389" priority="394" operator="between">
      <formula>0.91</formula>
      <formula>5</formula>
    </cfRule>
    <cfRule type="cellIs" dxfId="388" priority="395" operator="between">
      <formula>0.8</formula>
      <formula>0.91</formula>
    </cfRule>
    <cfRule type="cellIs" dxfId="387" priority="396" operator="between">
      <formula>0.01</formula>
      <formula>0.8</formula>
    </cfRule>
  </conditionalFormatting>
  <conditionalFormatting sqref="R132">
    <cfRule type="cellIs" dxfId="386" priority="391" operator="between">
      <formula>0.91</formula>
      <formula>5</formula>
    </cfRule>
    <cfRule type="cellIs" dxfId="385" priority="392" operator="between">
      <formula>0.8</formula>
      <formula>0.91</formula>
    </cfRule>
    <cfRule type="cellIs" dxfId="384" priority="393" operator="between">
      <formula>0.01</formula>
      <formula>0.8</formula>
    </cfRule>
  </conditionalFormatting>
  <conditionalFormatting sqref="R131">
    <cfRule type="cellIs" dxfId="383" priority="388" operator="between">
      <formula>0.91</formula>
      <formula>5</formula>
    </cfRule>
    <cfRule type="cellIs" dxfId="382" priority="389" operator="between">
      <formula>0.8</formula>
      <formula>0.91</formula>
    </cfRule>
    <cfRule type="cellIs" dxfId="381" priority="390" operator="between">
      <formula>0.01</formula>
      <formula>0.8</formula>
    </cfRule>
  </conditionalFormatting>
  <conditionalFormatting sqref="R130">
    <cfRule type="cellIs" dxfId="380" priority="385" operator="between">
      <formula>0.91</formula>
      <formula>5</formula>
    </cfRule>
    <cfRule type="cellIs" dxfId="379" priority="386" operator="between">
      <formula>0.8</formula>
      <formula>0.91</formula>
    </cfRule>
    <cfRule type="cellIs" dxfId="378" priority="387" operator="between">
      <formula>0.01</formula>
      <formula>0.8</formula>
    </cfRule>
  </conditionalFormatting>
  <conditionalFormatting sqref="R129">
    <cfRule type="cellIs" dxfId="377" priority="382" operator="between">
      <formula>0.91</formula>
      <formula>5</formula>
    </cfRule>
    <cfRule type="cellIs" dxfId="376" priority="383" operator="between">
      <formula>0.8</formula>
      <formula>0.91</formula>
    </cfRule>
    <cfRule type="cellIs" dxfId="375" priority="384" operator="between">
      <formula>0.01</formula>
      <formula>0.8</formula>
    </cfRule>
  </conditionalFormatting>
  <conditionalFormatting sqref="R128">
    <cfRule type="cellIs" dxfId="374" priority="379" operator="between">
      <formula>0.91</formula>
      <formula>5</formula>
    </cfRule>
    <cfRule type="cellIs" dxfId="373" priority="380" operator="between">
      <formula>0.8</formula>
      <formula>0.91</formula>
    </cfRule>
    <cfRule type="cellIs" dxfId="372" priority="381" operator="between">
      <formula>0.01</formula>
      <formula>0.8</formula>
    </cfRule>
  </conditionalFormatting>
  <conditionalFormatting sqref="R127">
    <cfRule type="cellIs" dxfId="371" priority="376" operator="between">
      <formula>0.91</formula>
      <formula>5</formula>
    </cfRule>
    <cfRule type="cellIs" dxfId="370" priority="377" operator="between">
      <formula>0.8</formula>
      <formula>0.91</formula>
    </cfRule>
    <cfRule type="cellIs" dxfId="369" priority="378" operator="between">
      <formula>0.01</formula>
      <formula>0.8</formula>
    </cfRule>
  </conditionalFormatting>
  <conditionalFormatting sqref="R126">
    <cfRule type="cellIs" dxfId="368" priority="373" operator="between">
      <formula>0.91</formula>
      <formula>5</formula>
    </cfRule>
    <cfRule type="cellIs" dxfId="367" priority="374" operator="between">
      <formula>0.8</formula>
      <formula>0.91</formula>
    </cfRule>
    <cfRule type="cellIs" dxfId="366" priority="375" operator="between">
      <formula>0.01</formula>
      <formula>0.8</formula>
    </cfRule>
  </conditionalFormatting>
  <conditionalFormatting sqref="R125">
    <cfRule type="cellIs" dxfId="365" priority="370" operator="between">
      <formula>0.91</formula>
      <formula>5</formula>
    </cfRule>
    <cfRule type="cellIs" dxfId="364" priority="371" operator="between">
      <formula>0.8</formula>
      <formula>0.91</formula>
    </cfRule>
    <cfRule type="cellIs" dxfId="363" priority="372" operator="between">
      <formula>0.01</formula>
      <formula>0.8</formula>
    </cfRule>
  </conditionalFormatting>
  <conditionalFormatting sqref="R124">
    <cfRule type="cellIs" dxfId="362" priority="367" operator="between">
      <formula>0.91</formula>
      <formula>5</formula>
    </cfRule>
    <cfRule type="cellIs" dxfId="361" priority="368" operator="between">
      <formula>0.8</formula>
      <formula>0.91</formula>
    </cfRule>
    <cfRule type="cellIs" dxfId="360" priority="369" operator="between">
      <formula>0.01</formula>
      <formula>0.8</formula>
    </cfRule>
  </conditionalFormatting>
  <conditionalFormatting sqref="R123">
    <cfRule type="cellIs" dxfId="359" priority="364" operator="between">
      <formula>0.91</formula>
      <formula>5</formula>
    </cfRule>
    <cfRule type="cellIs" dxfId="358" priority="365" operator="between">
      <formula>0.8</formula>
      <formula>0.91</formula>
    </cfRule>
    <cfRule type="cellIs" dxfId="357" priority="366" operator="between">
      <formula>0.01</formula>
      <formula>0.8</formula>
    </cfRule>
  </conditionalFormatting>
  <conditionalFormatting sqref="R122">
    <cfRule type="cellIs" dxfId="356" priority="361" operator="between">
      <formula>0.91</formula>
      <formula>5</formula>
    </cfRule>
    <cfRule type="cellIs" dxfId="355" priority="362" operator="between">
      <formula>0.8</formula>
      <formula>0.91</formula>
    </cfRule>
    <cfRule type="cellIs" dxfId="354" priority="363" operator="between">
      <formula>0.01</formula>
      <formula>0.8</formula>
    </cfRule>
  </conditionalFormatting>
  <conditionalFormatting sqref="R121">
    <cfRule type="cellIs" dxfId="353" priority="358" operator="between">
      <formula>0.91</formula>
      <formula>5</formula>
    </cfRule>
    <cfRule type="cellIs" dxfId="352" priority="359" operator="between">
      <formula>0.8</formula>
      <formula>0.91</formula>
    </cfRule>
    <cfRule type="cellIs" dxfId="351" priority="360" operator="between">
      <formula>0.01</formula>
      <formula>0.8</formula>
    </cfRule>
  </conditionalFormatting>
  <conditionalFormatting sqref="R120">
    <cfRule type="cellIs" dxfId="350" priority="355" operator="between">
      <formula>0.91</formula>
      <formula>5</formula>
    </cfRule>
    <cfRule type="cellIs" dxfId="349" priority="356" operator="between">
      <formula>0.8</formula>
      <formula>0.91</formula>
    </cfRule>
    <cfRule type="cellIs" dxfId="348" priority="357" operator="between">
      <formula>0.01</formula>
      <formula>0.8</formula>
    </cfRule>
  </conditionalFormatting>
  <conditionalFormatting sqref="R119">
    <cfRule type="cellIs" dxfId="347" priority="352" operator="between">
      <formula>0.91</formula>
      <formula>5</formula>
    </cfRule>
    <cfRule type="cellIs" dxfId="346" priority="353" operator="between">
      <formula>0.8</formula>
      <formula>0.91</formula>
    </cfRule>
    <cfRule type="cellIs" dxfId="345" priority="354" operator="between">
      <formula>0.01</formula>
      <formula>0.8</formula>
    </cfRule>
  </conditionalFormatting>
  <conditionalFormatting sqref="R118">
    <cfRule type="cellIs" dxfId="344" priority="346" operator="between">
      <formula>0.91</formula>
      <formula>5</formula>
    </cfRule>
    <cfRule type="cellIs" dxfId="343" priority="347" operator="between">
      <formula>0.8</formula>
      <formula>0.91</formula>
    </cfRule>
    <cfRule type="cellIs" dxfId="342" priority="348" operator="between">
      <formula>0.01</formula>
      <formula>0.8</formula>
    </cfRule>
  </conditionalFormatting>
  <conditionalFormatting sqref="R117">
    <cfRule type="cellIs" dxfId="341" priority="343" operator="between">
      <formula>0.91</formula>
      <formula>5</formula>
    </cfRule>
    <cfRule type="cellIs" dxfId="340" priority="344" operator="between">
      <formula>0.8</formula>
      <formula>0.91</formula>
    </cfRule>
    <cfRule type="cellIs" dxfId="339" priority="345" operator="between">
      <formula>0.01</formula>
      <formula>0.8</formula>
    </cfRule>
  </conditionalFormatting>
  <conditionalFormatting sqref="R116">
    <cfRule type="cellIs" dxfId="338" priority="340" operator="between">
      <formula>0.91</formula>
      <formula>5</formula>
    </cfRule>
    <cfRule type="cellIs" dxfId="337" priority="341" operator="between">
      <formula>0.8</formula>
      <formula>0.91</formula>
    </cfRule>
    <cfRule type="cellIs" dxfId="336" priority="342" operator="between">
      <formula>0.01</formula>
      <formula>0.8</formula>
    </cfRule>
  </conditionalFormatting>
  <conditionalFormatting sqref="R115">
    <cfRule type="cellIs" dxfId="335" priority="337" operator="between">
      <formula>0.91</formula>
      <formula>5</formula>
    </cfRule>
    <cfRule type="cellIs" dxfId="334" priority="338" operator="between">
      <formula>0.8</formula>
      <formula>0.91</formula>
    </cfRule>
    <cfRule type="cellIs" dxfId="333" priority="339" operator="between">
      <formula>0.01</formula>
      <formula>0.8</formula>
    </cfRule>
  </conditionalFormatting>
  <conditionalFormatting sqref="R114">
    <cfRule type="cellIs" dxfId="332" priority="334" operator="between">
      <formula>0.91</formula>
      <formula>5</formula>
    </cfRule>
    <cfRule type="cellIs" dxfId="331" priority="335" operator="between">
      <formula>0.8</formula>
      <formula>0.91</formula>
    </cfRule>
    <cfRule type="cellIs" dxfId="330" priority="336" operator="between">
      <formula>0.01</formula>
      <formula>0.8</formula>
    </cfRule>
  </conditionalFormatting>
  <conditionalFormatting sqref="R113">
    <cfRule type="cellIs" dxfId="329" priority="331" operator="between">
      <formula>0.91</formula>
      <formula>5</formula>
    </cfRule>
    <cfRule type="cellIs" dxfId="328" priority="332" operator="between">
      <formula>0.8</formula>
      <formula>0.91</formula>
    </cfRule>
    <cfRule type="cellIs" dxfId="327" priority="333" operator="between">
      <formula>0.01</formula>
      <formula>0.8</formula>
    </cfRule>
  </conditionalFormatting>
  <conditionalFormatting sqref="R112">
    <cfRule type="cellIs" dxfId="326" priority="328" operator="between">
      <formula>0.91</formula>
      <formula>5</formula>
    </cfRule>
    <cfRule type="cellIs" dxfId="325" priority="329" operator="between">
      <formula>0.8</formula>
      <formula>0.91</formula>
    </cfRule>
    <cfRule type="cellIs" dxfId="324" priority="330" operator="between">
      <formula>0.01</formula>
      <formula>0.8</formula>
    </cfRule>
  </conditionalFormatting>
  <conditionalFormatting sqref="R111">
    <cfRule type="cellIs" dxfId="323" priority="322" operator="between">
      <formula>0.91</formula>
      <formula>5</formula>
    </cfRule>
    <cfRule type="cellIs" dxfId="322" priority="323" operator="between">
      <formula>0.8</formula>
      <formula>0.91</formula>
    </cfRule>
    <cfRule type="cellIs" dxfId="321" priority="324" operator="between">
      <formula>0.01</formula>
      <formula>0.8</formula>
    </cfRule>
  </conditionalFormatting>
  <conditionalFormatting sqref="R110">
    <cfRule type="cellIs" dxfId="320" priority="319" operator="between">
      <formula>0.91</formula>
      <formula>5</formula>
    </cfRule>
    <cfRule type="cellIs" dxfId="319" priority="320" operator="between">
      <formula>0.8</formula>
      <formula>0.91</formula>
    </cfRule>
    <cfRule type="cellIs" dxfId="318" priority="321" operator="between">
      <formula>0.01</formula>
      <formula>0.8</formula>
    </cfRule>
  </conditionalFormatting>
  <conditionalFormatting sqref="R109">
    <cfRule type="cellIs" dxfId="317" priority="316" operator="between">
      <formula>0.91</formula>
      <formula>5</formula>
    </cfRule>
    <cfRule type="cellIs" dxfId="316" priority="317" operator="between">
      <formula>0.8</formula>
      <formula>0.91</formula>
    </cfRule>
    <cfRule type="cellIs" dxfId="315" priority="318" operator="between">
      <formula>0.01</formula>
      <formula>0.8</formula>
    </cfRule>
  </conditionalFormatting>
  <conditionalFormatting sqref="R108">
    <cfRule type="cellIs" dxfId="314" priority="313" operator="between">
      <formula>0.91</formula>
      <formula>5</formula>
    </cfRule>
    <cfRule type="cellIs" dxfId="313" priority="314" operator="between">
      <formula>0.8</formula>
      <formula>0.91</formula>
    </cfRule>
    <cfRule type="cellIs" dxfId="312" priority="315" operator="between">
      <formula>0.01</formula>
      <formula>0.8</formula>
    </cfRule>
  </conditionalFormatting>
  <conditionalFormatting sqref="R107">
    <cfRule type="cellIs" dxfId="311" priority="310" operator="between">
      <formula>0.91</formula>
      <formula>5</formula>
    </cfRule>
    <cfRule type="cellIs" dxfId="310" priority="311" operator="between">
      <formula>0.8</formula>
      <formula>0.91</formula>
    </cfRule>
    <cfRule type="cellIs" dxfId="309" priority="312" operator="between">
      <formula>0.01</formula>
      <formula>0.8</formula>
    </cfRule>
  </conditionalFormatting>
  <conditionalFormatting sqref="R106">
    <cfRule type="cellIs" dxfId="308" priority="307" operator="between">
      <formula>0.91</formula>
      <formula>5</formula>
    </cfRule>
    <cfRule type="cellIs" dxfId="307" priority="308" operator="between">
      <formula>0.8</formula>
      <formula>0.91</formula>
    </cfRule>
    <cfRule type="cellIs" dxfId="306" priority="309" operator="between">
      <formula>0.01</formula>
      <formula>0.8</formula>
    </cfRule>
  </conditionalFormatting>
  <conditionalFormatting sqref="R105">
    <cfRule type="cellIs" dxfId="305" priority="304" operator="between">
      <formula>0.91</formula>
      <formula>5</formula>
    </cfRule>
    <cfRule type="cellIs" dxfId="304" priority="305" operator="between">
      <formula>0.8</formula>
      <formula>0.91</formula>
    </cfRule>
    <cfRule type="cellIs" dxfId="303" priority="306" operator="between">
      <formula>0.01</formula>
      <formula>0.8</formula>
    </cfRule>
  </conditionalFormatting>
  <conditionalFormatting sqref="R104">
    <cfRule type="cellIs" dxfId="302" priority="301" operator="between">
      <formula>0.91</formula>
      <formula>5</formula>
    </cfRule>
    <cfRule type="cellIs" dxfId="301" priority="302" operator="between">
      <formula>0.8</formula>
      <formula>0.91</formula>
    </cfRule>
    <cfRule type="cellIs" dxfId="300" priority="303" operator="between">
      <formula>0.01</formula>
      <formula>0.8</formula>
    </cfRule>
  </conditionalFormatting>
  <conditionalFormatting sqref="R103">
    <cfRule type="cellIs" dxfId="299" priority="298" operator="between">
      <formula>0.91</formula>
      <formula>5</formula>
    </cfRule>
    <cfRule type="cellIs" dxfId="298" priority="299" operator="between">
      <formula>0.8</formula>
      <formula>0.91</formula>
    </cfRule>
    <cfRule type="cellIs" dxfId="297" priority="300" operator="between">
      <formula>0.01</formula>
      <formula>0.8</formula>
    </cfRule>
  </conditionalFormatting>
  <conditionalFormatting sqref="R102">
    <cfRule type="cellIs" dxfId="296" priority="295" operator="between">
      <formula>0.91</formula>
      <formula>5</formula>
    </cfRule>
    <cfRule type="cellIs" dxfId="295" priority="296" operator="between">
      <formula>0.8</formula>
      <formula>0.91</formula>
    </cfRule>
    <cfRule type="cellIs" dxfId="294" priority="297" operator="between">
      <formula>0.01</formula>
      <formula>0.8</formula>
    </cfRule>
  </conditionalFormatting>
  <conditionalFormatting sqref="R101">
    <cfRule type="cellIs" dxfId="293" priority="292" operator="between">
      <formula>0.91</formula>
      <formula>5</formula>
    </cfRule>
    <cfRule type="cellIs" dxfId="292" priority="293" operator="between">
      <formula>0.8</formula>
      <formula>0.91</formula>
    </cfRule>
    <cfRule type="cellIs" dxfId="291" priority="294" operator="between">
      <formula>0.01</formula>
      <formula>0.8</formula>
    </cfRule>
  </conditionalFormatting>
  <conditionalFormatting sqref="R100">
    <cfRule type="cellIs" dxfId="290" priority="289" operator="between">
      <formula>0.91</formula>
      <formula>5</formula>
    </cfRule>
    <cfRule type="cellIs" dxfId="289" priority="290" operator="between">
      <formula>0.8</formula>
      <formula>0.91</formula>
    </cfRule>
    <cfRule type="cellIs" dxfId="288" priority="291" operator="between">
      <formula>0.01</formula>
      <formula>0.8</formula>
    </cfRule>
  </conditionalFormatting>
  <conditionalFormatting sqref="R99">
    <cfRule type="cellIs" dxfId="287" priority="286" operator="between">
      <formula>0.91</formula>
      <formula>5</formula>
    </cfRule>
    <cfRule type="cellIs" dxfId="286" priority="287" operator="between">
      <formula>0.8</formula>
      <formula>0.91</formula>
    </cfRule>
    <cfRule type="cellIs" dxfId="285" priority="288" operator="between">
      <formula>0.01</formula>
      <formula>0.8</formula>
    </cfRule>
  </conditionalFormatting>
  <conditionalFormatting sqref="R98">
    <cfRule type="cellIs" dxfId="284" priority="283" operator="between">
      <formula>0.91</formula>
      <formula>5</formula>
    </cfRule>
    <cfRule type="cellIs" dxfId="283" priority="284" operator="between">
      <formula>0.8</formula>
      <formula>0.91</formula>
    </cfRule>
    <cfRule type="cellIs" dxfId="282" priority="285" operator="between">
      <formula>0.01</formula>
      <formula>0.8</formula>
    </cfRule>
  </conditionalFormatting>
  <conditionalFormatting sqref="R97">
    <cfRule type="cellIs" dxfId="281" priority="280" operator="between">
      <formula>0.91</formula>
      <formula>5</formula>
    </cfRule>
    <cfRule type="cellIs" dxfId="280" priority="281" operator="between">
      <formula>0.8</formula>
      <formula>0.91</formula>
    </cfRule>
    <cfRule type="cellIs" dxfId="279" priority="282" operator="between">
      <formula>0.01</formula>
      <formula>0.8</formula>
    </cfRule>
  </conditionalFormatting>
  <conditionalFormatting sqref="R96">
    <cfRule type="cellIs" dxfId="278" priority="277" operator="between">
      <formula>0.91</formula>
      <formula>5</formula>
    </cfRule>
    <cfRule type="cellIs" dxfId="277" priority="278" operator="between">
      <formula>0.8</formula>
      <formula>0.91</formula>
    </cfRule>
    <cfRule type="cellIs" dxfId="276" priority="279" operator="between">
      <formula>0.01</formula>
      <formula>0.8</formula>
    </cfRule>
  </conditionalFormatting>
  <conditionalFormatting sqref="R95">
    <cfRule type="cellIs" dxfId="275" priority="274" operator="between">
      <formula>0.91</formula>
      <formula>5</formula>
    </cfRule>
    <cfRule type="cellIs" dxfId="274" priority="275" operator="between">
      <formula>0.8</formula>
      <formula>0.91</formula>
    </cfRule>
    <cfRule type="cellIs" dxfId="273" priority="276" operator="between">
      <formula>0.01</formula>
      <formula>0.8</formula>
    </cfRule>
  </conditionalFormatting>
  <conditionalFormatting sqref="R94">
    <cfRule type="cellIs" dxfId="272" priority="271" operator="between">
      <formula>0.91</formula>
      <formula>5</formula>
    </cfRule>
    <cfRule type="cellIs" dxfId="271" priority="272" operator="between">
      <formula>0.8</formula>
      <formula>0.91</formula>
    </cfRule>
    <cfRule type="cellIs" dxfId="270" priority="273" operator="between">
      <formula>0.01</formula>
      <formula>0.8</formula>
    </cfRule>
  </conditionalFormatting>
  <conditionalFormatting sqref="R93">
    <cfRule type="cellIs" dxfId="269" priority="268" operator="between">
      <formula>0.91</formula>
      <formula>5</formula>
    </cfRule>
    <cfRule type="cellIs" dxfId="268" priority="269" operator="between">
      <formula>0.8</formula>
      <formula>0.91</formula>
    </cfRule>
    <cfRule type="cellIs" dxfId="267" priority="270" operator="between">
      <formula>0.01</formula>
      <formula>0.8</formula>
    </cfRule>
  </conditionalFormatting>
  <conditionalFormatting sqref="R92">
    <cfRule type="cellIs" dxfId="266" priority="265" operator="between">
      <formula>0.91</formula>
      <formula>5</formula>
    </cfRule>
    <cfRule type="cellIs" dxfId="265" priority="266" operator="between">
      <formula>0.8</formula>
      <formula>0.91</formula>
    </cfRule>
    <cfRule type="cellIs" dxfId="264" priority="267" operator="between">
      <formula>0.01</formula>
      <formula>0.8</formula>
    </cfRule>
  </conditionalFormatting>
  <conditionalFormatting sqref="R91">
    <cfRule type="cellIs" dxfId="263" priority="262" operator="between">
      <formula>0.91</formula>
      <formula>5</formula>
    </cfRule>
    <cfRule type="cellIs" dxfId="262" priority="263" operator="between">
      <formula>0.8</formula>
      <formula>0.91</formula>
    </cfRule>
    <cfRule type="cellIs" dxfId="261" priority="264" operator="between">
      <formula>0.01</formula>
      <formula>0.8</formula>
    </cfRule>
  </conditionalFormatting>
  <conditionalFormatting sqref="R90">
    <cfRule type="cellIs" dxfId="260" priority="259" operator="between">
      <formula>0.91</formula>
      <formula>5</formula>
    </cfRule>
    <cfRule type="cellIs" dxfId="259" priority="260" operator="between">
      <formula>0.8</formula>
      <formula>0.91</formula>
    </cfRule>
    <cfRule type="cellIs" dxfId="258" priority="261" operator="between">
      <formula>0.01</formula>
      <formula>0.8</formula>
    </cfRule>
  </conditionalFormatting>
  <conditionalFormatting sqref="R89">
    <cfRule type="cellIs" dxfId="257" priority="256" operator="between">
      <formula>0.91</formula>
      <formula>5</formula>
    </cfRule>
    <cfRule type="cellIs" dxfId="256" priority="257" operator="between">
      <formula>0.8</formula>
      <formula>0.91</formula>
    </cfRule>
    <cfRule type="cellIs" dxfId="255" priority="258" operator="between">
      <formula>0.01</formula>
      <formula>0.8</formula>
    </cfRule>
  </conditionalFormatting>
  <conditionalFormatting sqref="R88">
    <cfRule type="cellIs" dxfId="254" priority="253" operator="between">
      <formula>0.91</formula>
      <formula>5</formula>
    </cfRule>
    <cfRule type="cellIs" dxfId="253" priority="254" operator="between">
      <formula>0.8</formula>
      <formula>0.91</formula>
    </cfRule>
    <cfRule type="cellIs" dxfId="252" priority="255" operator="between">
      <formula>0.01</formula>
      <formula>0.8</formula>
    </cfRule>
  </conditionalFormatting>
  <conditionalFormatting sqref="R87">
    <cfRule type="cellIs" dxfId="251" priority="250" operator="between">
      <formula>0.91</formula>
      <formula>5</formula>
    </cfRule>
    <cfRule type="cellIs" dxfId="250" priority="251" operator="between">
      <formula>0.8</formula>
      <formula>0.91</formula>
    </cfRule>
    <cfRule type="cellIs" dxfId="249" priority="252" operator="between">
      <formula>0.01</formula>
      <formula>0.8</formula>
    </cfRule>
  </conditionalFormatting>
  <conditionalFormatting sqref="R86">
    <cfRule type="cellIs" dxfId="248" priority="247" operator="between">
      <formula>0.91</formula>
      <formula>5</formula>
    </cfRule>
    <cfRule type="cellIs" dxfId="247" priority="248" operator="between">
      <formula>0.8</formula>
      <formula>0.91</formula>
    </cfRule>
    <cfRule type="cellIs" dxfId="246" priority="249" operator="between">
      <formula>0.01</formula>
      <formula>0.8</formula>
    </cfRule>
  </conditionalFormatting>
  <conditionalFormatting sqref="R85">
    <cfRule type="cellIs" dxfId="245" priority="244" operator="between">
      <formula>0.91</formula>
      <formula>5</formula>
    </cfRule>
    <cfRule type="cellIs" dxfId="244" priority="245" operator="between">
      <formula>0.8</formula>
      <formula>0.91</formula>
    </cfRule>
    <cfRule type="cellIs" dxfId="243" priority="246" operator="between">
      <formula>0.01</formula>
      <formula>0.8</formula>
    </cfRule>
  </conditionalFormatting>
  <conditionalFormatting sqref="R84">
    <cfRule type="cellIs" dxfId="242" priority="241" operator="between">
      <formula>0.91</formula>
      <formula>5</formula>
    </cfRule>
    <cfRule type="cellIs" dxfId="241" priority="242" operator="between">
      <formula>0.8</formula>
      <formula>0.91</formula>
    </cfRule>
    <cfRule type="cellIs" dxfId="240" priority="243" operator="between">
      <formula>0.01</formula>
      <formula>0.8</formula>
    </cfRule>
  </conditionalFormatting>
  <conditionalFormatting sqref="R83">
    <cfRule type="cellIs" dxfId="239" priority="238" operator="between">
      <formula>0.91</formula>
      <formula>5</formula>
    </cfRule>
    <cfRule type="cellIs" dxfId="238" priority="239" operator="between">
      <formula>0.8</formula>
      <formula>0.91</formula>
    </cfRule>
    <cfRule type="cellIs" dxfId="237" priority="240" operator="between">
      <formula>0.01</formula>
      <formula>0.8</formula>
    </cfRule>
  </conditionalFormatting>
  <conditionalFormatting sqref="R82">
    <cfRule type="cellIs" dxfId="236" priority="235" operator="between">
      <formula>0.91</formula>
      <formula>5</formula>
    </cfRule>
    <cfRule type="cellIs" dxfId="235" priority="236" operator="between">
      <formula>0.8</formula>
      <formula>0.91</formula>
    </cfRule>
    <cfRule type="cellIs" dxfId="234" priority="237" operator="between">
      <formula>0.01</formula>
      <formula>0.8</formula>
    </cfRule>
  </conditionalFormatting>
  <conditionalFormatting sqref="R81">
    <cfRule type="cellIs" dxfId="233" priority="232" operator="between">
      <formula>0.91</formula>
      <formula>5</formula>
    </cfRule>
    <cfRule type="cellIs" dxfId="232" priority="233" operator="between">
      <formula>0.8</formula>
      <formula>0.91</formula>
    </cfRule>
    <cfRule type="cellIs" dxfId="231" priority="234" operator="between">
      <formula>0.01</formula>
      <formula>0.8</formula>
    </cfRule>
  </conditionalFormatting>
  <conditionalFormatting sqref="R80">
    <cfRule type="cellIs" dxfId="230" priority="229" operator="between">
      <formula>0.91</formula>
      <formula>5</formula>
    </cfRule>
    <cfRule type="cellIs" dxfId="229" priority="230" operator="between">
      <formula>0.8</formula>
      <formula>0.91</formula>
    </cfRule>
    <cfRule type="cellIs" dxfId="228" priority="231" operator="between">
      <formula>0.01</formula>
      <formula>0.8</formula>
    </cfRule>
  </conditionalFormatting>
  <conditionalFormatting sqref="R79">
    <cfRule type="cellIs" dxfId="227" priority="226" operator="between">
      <formula>0.91</formula>
      <formula>5</formula>
    </cfRule>
    <cfRule type="cellIs" dxfId="226" priority="227" operator="between">
      <formula>0.8</formula>
      <formula>0.91</formula>
    </cfRule>
    <cfRule type="cellIs" dxfId="225" priority="228" operator="between">
      <formula>0.01</formula>
      <formula>0.8</formula>
    </cfRule>
  </conditionalFormatting>
  <conditionalFormatting sqref="R78">
    <cfRule type="cellIs" dxfId="224" priority="223" operator="between">
      <formula>0.91</formula>
      <formula>5</formula>
    </cfRule>
    <cfRule type="cellIs" dxfId="223" priority="224" operator="between">
      <formula>0.8</formula>
      <formula>0.91</formula>
    </cfRule>
    <cfRule type="cellIs" dxfId="222" priority="225" operator="between">
      <formula>0.01</formula>
      <formula>0.8</formula>
    </cfRule>
  </conditionalFormatting>
  <conditionalFormatting sqref="R77">
    <cfRule type="cellIs" dxfId="221" priority="220" operator="between">
      <formula>0.91</formula>
      <formula>5</formula>
    </cfRule>
    <cfRule type="cellIs" dxfId="220" priority="221" operator="between">
      <formula>0.8</formula>
      <formula>0.91</formula>
    </cfRule>
    <cfRule type="cellIs" dxfId="219" priority="222" operator="between">
      <formula>0.01</formula>
      <formula>0.8</formula>
    </cfRule>
  </conditionalFormatting>
  <conditionalFormatting sqref="R76">
    <cfRule type="cellIs" dxfId="218" priority="217" operator="between">
      <formula>0.91</formula>
      <formula>5</formula>
    </cfRule>
    <cfRule type="cellIs" dxfId="217" priority="218" operator="between">
      <formula>0.8</formula>
      <formula>0.91</formula>
    </cfRule>
    <cfRule type="cellIs" dxfId="216" priority="219" operator="between">
      <formula>0.01</formula>
      <formula>0.8</formula>
    </cfRule>
  </conditionalFormatting>
  <conditionalFormatting sqref="R75">
    <cfRule type="cellIs" dxfId="215" priority="214" operator="between">
      <formula>0.91</formula>
      <formula>5</formula>
    </cfRule>
    <cfRule type="cellIs" dxfId="214" priority="215" operator="between">
      <formula>0.8</formula>
      <formula>0.91</formula>
    </cfRule>
    <cfRule type="cellIs" dxfId="213" priority="216" operator="between">
      <formula>0.01</formula>
      <formula>0.8</formula>
    </cfRule>
  </conditionalFormatting>
  <conditionalFormatting sqref="R74">
    <cfRule type="cellIs" dxfId="212" priority="211" operator="between">
      <formula>0.91</formula>
      <formula>5</formula>
    </cfRule>
    <cfRule type="cellIs" dxfId="211" priority="212" operator="between">
      <formula>0.8</formula>
      <formula>0.91</formula>
    </cfRule>
    <cfRule type="cellIs" dxfId="210" priority="213" operator="between">
      <formula>0.01</formula>
      <formula>0.8</formula>
    </cfRule>
  </conditionalFormatting>
  <conditionalFormatting sqref="R73">
    <cfRule type="cellIs" dxfId="209" priority="208" operator="between">
      <formula>0.91</formula>
      <formula>5</formula>
    </cfRule>
    <cfRule type="cellIs" dxfId="208" priority="209" operator="between">
      <formula>0.8</formula>
      <formula>0.91</formula>
    </cfRule>
    <cfRule type="cellIs" dxfId="207" priority="210" operator="between">
      <formula>0.01</formula>
      <formula>0.8</formula>
    </cfRule>
  </conditionalFormatting>
  <conditionalFormatting sqref="R72">
    <cfRule type="cellIs" dxfId="206" priority="205" operator="between">
      <formula>0.91</formula>
      <formula>5</formula>
    </cfRule>
    <cfRule type="cellIs" dxfId="205" priority="206" operator="between">
      <formula>0.8</formula>
      <formula>0.91</formula>
    </cfRule>
    <cfRule type="cellIs" dxfId="204" priority="207" operator="between">
      <formula>0.01</formula>
      <formula>0.8</formula>
    </cfRule>
  </conditionalFormatting>
  <conditionalFormatting sqref="R71">
    <cfRule type="cellIs" dxfId="203" priority="202" operator="between">
      <formula>0.91</formula>
      <formula>5</formula>
    </cfRule>
    <cfRule type="cellIs" dxfId="202" priority="203" operator="between">
      <formula>0.8</formula>
      <formula>0.91</formula>
    </cfRule>
    <cfRule type="cellIs" dxfId="201" priority="204" operator="between">
      <formula>0.01</formula>
      <formula>0.8</formula>
    </cfRule>
  </conditionalFormatting>
  <conditionalFormatting sqref="R70">
    <cfRule type="cellIs" dxfId="200" priority="199" operator="between">
      <formula>0.91</formula>
      <formula>5</formula>
    </cfRule>
    <cfRule type="cellIs" dxfId="199" priority="200" operator="between">
      <formula>0.8</formula>
      <formula>0.91</formula>
    </cfRule>
    <cfRule type="cellIs" dxfId="198" priority="201" operator="between">
      <formula>0.01</formula>
      <formula>0.8</formula>
    </cfRule>
  </conditionalFormatting>
  <conditionalFormatting sqref="R69">
    <cfRule type="cellIs" dxfId="197" priority="196" operator="between">
      <formula>0.91</formula>
      <formula>5</formula>
    </cfRule>
    <cfRule type="cellIs" dxfId="196" priority="197" operator="between">
      <formula>0.8</formula>
      <formula>0.91</formula>
    </cfRule>
    <cfRule type="cellIs" dxfId="195" priority="198" operator="between">
      <formula>0.01</formula>
      <formula>0.8</formula>
    </cfRule>
  </conditionalFormatting>
  <conditionalFormatting sqref="R68">
    <cfRule type="cellIs" dxfId="194" priority="193" operator="between">
      <formula>0.91</formula>
      <formula>5</formula>
    </cfRule>
    <cfRule type="cellIs" dxfId="193" priority="194" operator="between">
      <formula>0.8</formula>
      <formula>0.91</formula>
    </cfRule>
    <cfRule type="cellIs" dxfId="192" priority="195" operator="between">
      <formula>0.01</formula>
      <formula>0.8</formula>
    </cfRule>
  </conditionalFormatting>
  <conditionalFormatting sqref="R67">
    <cfRule type="cellIs" dxfId="191" priority="190" operator="between">
      <formula>0.91</formula>
      <formula>5</formula>
    </cfRule>
    <cfRule type="cellIs" dxfId="190" priority="191" operator="between">
      <formula>0.8</formula>
      <formula>0.91</formula>
    </cfRule>
    <cfRule type="cellIs" dxfId="189" priority="192" operator="between">
      <formula>0.01</formula>
      <formula>0.8</formula>
    </cfRule>
  </conditionalFormatting>
  <conditionalFormatting sqref="R66">
    <cfRule type="cellIs" dxfId="188" priority="187" operator="between">
      <formula>0.91</formula>
      <formula>5</formula>
    </cfRule>
    <cfRule type="cellIs" dxfId="187" priority="188" operator="between">
      <formula>0.8</formula>
      <formula>0.91</formula>
    </cfRule>
    <cfRule type="cellIs" dxfId="186" priority="189" operator="between">
      <formula>0.01</formula>
      <formula>0.8</formula>
    </cfRule>
  </conditionalFormatting>
  <conditionalFormatting sqref="R65">
    <cfRule type="cellIs" dxfId="185" priority="184" operator="between">
      <formula>0.91</formula>
      <formula>5</formula>
    </cfRule>
    <cfRule type="cellIs" dxfId="184" priority="185" operator="between">
      <formula>0.8</formula>
      <formula>0.91</formula>
    </cfRule>
    <cfRule type="cellIs" dxfId="183" priority="186" operator="between">
      <formula>0.01</formula>
      <formula>0.8</formula>
    </cfRule>
  </conditionalFormatting>
  <conditionalFormatting sqref="R64">
    <cfRule type="cellIs" dxfId="182" priority="181" operator="between">
      <formula>0.91</formula>
      <formula>5</formula>
    </cfRule>
    <cfRule type="cellIs" dxfId="181" priority="182" operator="between">
      <formula>0.8</formula>
      <formula>0.91</formula>
    </cfRule>
    <cfRule type="cellIs" dxfId="180" priority="183" operator="between">
      <formula>0.01</formula>
      <formula>0.8</formula>
    </cfRule>
  </conditionalFormatting>
  <conditionalFormatting sqref="R63">
    <cfRule type="cellIs" dxfId="179" priority="178" operator="between">
      <formula>0.91</formula>
      <formula>5</formula>
    </cfRule>
    <cfRule type="cellIs" dxfId="178" priority="179" operator="between">
      <formula>0.8</formula>
      <formula>0.91</formula>
    </cfRule>
    <cfRule type="cellIs" dxfId="177" priority="180" operator="between">
      <formula>0.01</formula>
      <formula>0.8</formula>
    </cfRule>
  </conditionalFormatting>
  <conditionalFormatting sqref="R62">
    <cfRule type="cellIs" dxfId="176" priority="175" operator="between">
      <formula>0.91</formula>
      <formula>5</formula>
    </cfRule>
    <cfRule type="cellIs" dxfId="175" priority="176" operator="between">
      <formula>0.8</formula>
      <formula>0.91</formula>
    </cfRule>
    <cfRule type="cellIs" dxfId="174" priority="177" operator="between">
      <formula>0.01</formula>
      <formula>0.8</formula>
    </cfRule>
  </conditionalFormatting>
  <conditionalFormatting sqref="R61">
    <cfRule type="cellIs" dxfId="173" priority="172" operator="between">
      <formula>0.91</formula>
      <formula>5</formula>
    </cfRule>
    <cfRule type="cellIs" dxfId="172" priority="173" operator="between">
      <formula>0.8</formula>
      <formula>0.91</formula>
    </cfRule>
    <cfRule type="cellIs" dxfId="171" priority="174" operator="between">
      <formula>0.01</formula>
      <formula>0.8</formula>
    </cfRule>
  </conditionalFormatting>
  <conditionalFormatting sqref="R60">
    <cfRule type="cellIs" dxfId="170" priority="169" operator="between">
      <formula>0.91</formula>
      <formula>5</formula>
    </cfRule>
    <cfRule type="cellIs" dxfId="169" priority="170" operator="between">
      <formula>0.8</formula>
      <formula>0.91</formula>
    </cfRule>
    <cfRule type="cellIs" dxfId="168" priority="171" operator="between">
      <formula>0.01</formula>
      <formula>0.8</formula>
    </cfRule>
  </conditionalFormatting>
  <conditionalFormatting sqref="R59">
    <cfRule type="cellIs" dxfId="167" priority="166" operator="between">
      <formula>0.91</formula>
      <formula>5</formula>
    </cfRule>
    <cfRule type="cellIs" dxfId="166" priority="167" operator="between">
      <formula>0.8</formula>
      <formula>0.91</formula>
    </cfRule>
    <cfRule type="cellIs" dxfId="165" priority="168" operator="between">
      <formula>0.01</formula>
      <formula>0.8</formula>
    </cfRule>
  </conditionalFormatting>
  <conditionalFormatting sqref="R58">
    <cfRule type="cellIs" dxfId="164" priority="163" operator="between">
      <formula>0.91</formula>
      <formula>5</formula>
    </cfRule>
    <cfRule type="cellIs" dxfId="163" priority="164" operator="between">
      <formula>0.8</formula>
      <formula>0.91</formula>
    </cfRule>
    <cfRule type="cellIs" dxfId="162" priority="165" operator="between">
      <formula>0.01</formula>
      <formula>0.8</formula>
    </cfRule>
  </conditionalFormatting>
  <conditionalFormatting sqref="R57">
    <cfRule type="cellIs" dxfId="161" priority="160" operator="between">
      <formula>0.91</formula>
      <formula>5</formula>
    </cfRule>
    <cfRule type="cellIs" dxfId="160" priority="161" operator="between">
      <formula>0.8</formula>
      <formula>0.91</formula>
    </cfRule>
    <cfRule type="cellIs" dxfId="159" priority="162" operator="between">
      <formula>0.01</formula>
      <formula>0.8</formula>
    </cfRule>
  </conditionalFormatting>
  <conditionalFormatting sqref="R56">
    <cfRule type="cellIs" dxfId="158" priority="157" operator="between">
      <formula>0.91</formula>
      <formula>5</formula>
    </cfRule>
    <cfRule type="cellIs" dxfId="157" priority="158" operator="between">
      <formula>0.8</formula>
      <formula>0.91</formula>
    </cfRule>
    <cfRule type="cellIs" dxfId="156" priority="159" operator="between">
      <formula>0.01</formula>
      <formula>0.8</formula>
    </cfRule>
  </conditionalFormatting>
  <conditionalFormatting sqref="R55">
    <cfRule type="cellIs" dxfId="155" priority="154" operator="between">
      <formula>0.91</formula>
      <formula>5</formula>
    </cfRule>
    <cfRule type="cellIs" dxfId="154" priority="155" operator="between">
      <formula>0.8</formula>
      <formula>0.91</formula>
    </cfRule>
    <cfRule type="cellIs" dxfId="153" priority="156" operator="between">
      <formula>0.01</formula>
      <formula>0.8</formula>
    </cfRule>
  </conditionalFormatting>
  <conditionalFormatting sqref="R54">
    <cfRule type="cellIs" dxfId="152" priority="151" operator="between">
      <formula>0.91</formula>
      <formula>5</formula>
    </cfRule>
    <cfRule type="cellIs" dxfId="151" priority="152" operator="between">
      <formula>0.8</formula>
      <formula>0.91</formula>
    </cfRule>
    <cfRule type="cellIs" dxfId="150" priority="153" operator="between">
      <formula>0.01</formula>
      <formula>0.8</formula>
    </cfRule>
  </conditionalFormatting>
  <conditionalFormatting sqref="R53">
    <cfRule type="cellIs" dxfId="149" priority="148" operator="between">
      <formula>0.91</formula>
      <formula>5</formula>
    </cfRule>
    <cfRule type="cellIs" dxfId="148" priority="149" operator="between">
      <formula>0.8</formula>
      <formula>0.91</formula>
    </cfRule>
    <cfRule type="cellIs" dxfId="147" priority="150" operator="between">
      <formula>0.01</formula>
      <formula>0.8</formula>
    </cfRule>
  </conditionalFormatting>
  <conditionalFormatting sqref="R52">
    <cfRule type="cellIs" dxfId="146" priority="145" operator="between">
      <formula>0.91</formula>
      <formula>5</formula>
    </cfRule>
    <cfRule type="cellIs" dxfId="145" priority="146" operator="between">
      <formula>0.8</formula>
      <formula>0.91</formula>
    </cfRule>
    <cfRule type="cellIs" dxfId="144" priority="147" operator="between">
      <formula>0.01</formula>
      <formula>0.8</formula>
    </cfRule>
  </conditionalFormatting>
  <conditionalFormatting sqref="R51">
    <cfRule type="cellIs" dxfId="143" priority="142" operator="between">
      <formula>0.91</formula>
      <formula>5</formula>
    </cfRule>
    <cfRule type="cellIs" dxfId="142" priority="143" operator="between">
      <formula>0.8</formula>
      <formula>0.91</formula>
    </cfRule>
    <cfRule type="cellIs" dxfId="141" priority="144" operator="between">
      <formula>0.01</formula>
      <formula>0.8</formula>
    </cfRule>
  </conditionalFormatting>
  <conditionalFormatting sqref="R50">
    <cfRule type="cellIs" dxfId="140" priority="139" operator="between">
      <formula>0.91</formula>
      <formula>5</formula>
    </cfRule>
    <cfRule type="cellIs" dxfId="139" priority="140" operator="between">
      <formula>0.8</formula>
      <formula>0.91</formula>
    </cfRule>
    <cfRule type="cellIs" dxfId="138" priority="141" operator="between">
      <formula>0.01</formula>
      <formula>0.8</formula>
    </cfRule>
  </conditionalFormatting>
  <conditionalFormatting sqref="R49">
    <cfRule type="cellIs" dxfId="137" priority="136" operator="between">
      <formula>0.91</formula>
      <formula>5</formula>
    </cfRule>
    <cfRule type="cellIs" dxfId="136" priority="137" operator="between">
      <formula>0.8</formula>
      <formula>0.91</formula>
    </cfRule>
    <cfRule type="cellIs" dxfId="135" priority="138" operator="between">
      <formula>0.01</formula>
      <formula>0.8</formula>
    </cfRule>
  </conditionalFormatting>
  <conditionalFormatting sqref="R48">
    <cfRule type="cellIs" dxfId="134" priority="133" operator="between">
      <formula>0.91</formula>
      <formula>5</formula>
    </cfRule>
    <cfRule type="cellIs" dxfId="133" priority="134" operator="between">
      <formula>0.8</formula>
      <formula>0.91</formula>
    </cfRule>
    <cfRule type="cellIs" dxfId="132" priority="135" operator="between">
      <formula>0.01</formula>
      <formula>0.8</formula>
    </cfRule>
  </conditionalFormatting>
  <conditionalFormatting sqref="R47">
    <cfRule type="cellIs" dxfId="131" priority="130" operator="between">
      <formula>0.91</formula>
      <formula>5</formula>
    </cfRule>
    <cfRule type="cellIs" dxfId="130" priority="131" operator="between">
      <formula>0.8</formula>
      <formula>0.91</formula>
    </cfRule>
    <cfRule type="cellIs" dxfId="129" priority="132" operator="between">
      <formula>0.01</formula>
      <formula>0.8</formula>
    </cfRule>
  </conditionalFormatting>
  <conditionalFormatting sqref="R46">
    <cfRule type="cellIs" dxfId="128" priority="127" operator="between">
      <formula>0.91</formula>
      <formula>5</formula>
    </cfRule>
    <cfRule type="cellIs" dxfId="127" priority="128" operator="between">
      <formula>0.8</formula>
      <formula>0.91</formula>
    </cfRule>
    <cfRule type="cellIs" dxfId="126" priority="129" operator="between">
      <formula>0.01</formula>
      <formula>0.8</formula>
    </cfRule>
  </conditionalFormatting>
  <conditionalFormatting sqref="R45">
    <cfRule type="cellIs" dxfId="125" priority="124" operator="between">
      <formula>0.91</formula>
      <formula>5</formula>
    </cfRule>
    <cfRule type="cellIs" dxfId="124" priority="125" operator="between">
      <formula>0.8</formula>
      <formula>0.91</formula>
    </cfRule>
    <cfRule type="cellIs" dxfId="123" priority="126" operator="between">
      <formula>0.01</formula>
      <formula>0.8</formula>
    </cfRule>
  </conditionalFormatting>
  <conditionalFormatting sqref="R44">
    <cfRule type="cellIs" dxfId="122" priority="121" operator="between">
      <formula>0.91</formula>
      <formula>5</formula>
    </cfRule>
    <cfRule type="cellIs" dxfId="121" priority="122" operator="between">
      <formula>0.8</formula>
      <formula>0.91</formula>
    </cfRule>
    <cfRule type="cellIs" dxfId="120" priority="123" operator="between">
      <formula>0.01</formula>
      <formula>0.8</formula>
    </cfRule>
  </conditionalFormatting>
  <conditionalFormatting sqref="R43">
    <cfRule type="cellIs" dxfId="119" priority="118" operator="between">
      <formula>0.91</formula>
      <formula>5</formula>
    </cfRule>
    <cfRule type="cellIs" dxfId="118" priority="119" operator="between">
      <formula>0.8</formula>
      <formula>0.91</formula>
    </cfRule>
    <cfRule type="cellIs" dxfId="117" priority="120" operator="between">
      <formula>0.01</formula>
      <formula>0.8</formula>
    </cfRule>
  </conditionalFormatting>
  <conditionalFormatting sqref="R42">
    <cfRule type="cellIs" dxfId="116" priority="115" operator="between">
      <formula>0.91</formula>
      <formula>5</formula>
    </cfRule>
    <cfRule type="cellIs" dxfId="115" priority="116" operator="between">
      <formula>0.8</formula>
      <formula>0.91</formula>
    </cfRule>
    <cfRule type="cellIs" dxfId="114" priority="117" operator="between">
      <formula>0.01</formula>
      <formula>0.8</formula>
    </cfRule>
  </conditionalFormatting>
  <conditionalFormatting sqref="R41">
    <cfRule type="cellIs" dxfId="113" priority="112" operator="between">
      <formula>0.91</formula>
      <formula>5</formula>
    </cfRule>
    <cfRule type="cellIs" dxfId="112" priority="113" operator="between">
      <formula>0.8</formula>
      <formula>0.91</formula>
    </cfRule>
    <cfRule type="cellIs" dxfId="111" priority="114" operator="between">
      <formula>0.01</formula>
      <formula>0.8</formula>
    </cfRule>
  </conditionalFormatting>
  <conditionalFormatting sqref="R40">
    <cfRule type="cellIs" dxfId="110" priority="109" operator="between">
      <formula>0.91</formula>
      <formula>5</formula>
    </cfRule>
    <cfRule type="cellIs" dxfId="109" priority="110" operator="between">
      <formula>0.8</formula>
      <formula>0.91</formula>
    </cfRule>
    <cfRule type="cellIs" dxfId="108" priority="111" operator="between">
      <formula>0.01</formula>
      <formula>0.8</formula>
    </cfRule>
  </conditionalFormatting>
  <conditionalFormatting sqref="R39">
    <cfRule type="cellIs" dxfId="107" priority="106" operator="between">
      <formula>0.91</formula>
      <formula>5</formula>
    </cfRule>
    <cfRule type="cellIs" dxfId="106" priority="107" operator="between">
      <formula>0.8</formula>
      <formula>0.91</formula>
    </cfRule>
    <cfRule type="cellIs" dxfId="105" priority="108" operator="between">
      <formula>0.01</formula>
      <formula>0.8</formula>
    </cfRule>
  </conditionalFormatting>
  <conditionalFormatting sqref="R38">
    <cfRule type="cellIs" dxfId="104" priority="103" operator="between">
      <formula>0.91</formula>
      <formula>5</formula>
    </cfRule>
    <cfRule type="cellIs" dxfId="103" priority="104" operator="between">
      <formula>0.8</formula>
      <formula>0.91</formula>
    </cfRule>
    <cfRule type="cellIs" dxfId="102" priority="105" operator="between">
      <formula>0.01</formula>
      <formula>0.8</formula>
    </cfRule>
  </conditionalFormatting>
  <conditionalFormatting sqref="R37">
    <cfRule type="cellIs" dxfId="101" priority="100" operator="between">
      <formula>0.91</formula>
      <formula>5</formula>
    </cfRule>
    <cfRule type="cellIs" dxfId="100" priority="101" operator="between">
      <formula>0.8</formula>
      <formula>0.91</formula>
    </cfRule>
    <cfRule type="cellIs" dxfId="99" priority="102" operator="between">
      <formula>0.01</formula>
      <formula>0.8</formula>
    </cfRule>
  </conditionalFormatting>
  <conditionalFormatting sqref="R36">
    <cfRule type="cellIs" dxfId="98" priority="97" operator="between">
      <formula>0.91</formula>
      <formula>5</formula>
    </cfRule>
    <cfRule type="cellIs" dxfId="97" priority="98" operator="between">
      <formula>0.8</formula>
      <formula>0.91</formula>
    </cfRule>
    <cfRule type="cellIs" dxfId="96" priority="99" operator="between">
      <formula>0.01</formula>
      <formula>0.8</formula>
    </cfRule>
  </conditionalFormatting>
  <conditionalFormatting sqref="R35">
    <cfRule type="cellIs" dxfId="95" priority="91" operator="between">
      <formula>0.91</formula>
      <formula>5</formula>
    </cfRule>
    <cfRule type="cellIs" dxfId="94" priority="92" operator="between">
      <formula>0.8</formula>
      <formula>0.91</formula>
    </cfRule>
    <cfRule type="cellIs" dxfId="93" priority="93" operator="between">
      <formula>0.01</formula>
      <formula>0.8</formula>
    </cfRule>
  </conditionalFormatting>
  <conditionalFormatting sqref="R34">
    <cfRule type="cellIs" dxfId="92" priority="85" operator="between">
      <formula>0.91</formula>
      <formula>5</formula>
    </cfRule>
    <cfRule type="cellIs" dxfId="91" priority="86" operator="between">
      <formula>0.8</formula>
      <formula>0.91</formula>
    </cfRule>
    <cfRule type="cellIs" dxfId="90" priority="87" operator="between">
      <formula>0.01</formula>
      <formula>0.8</formula>
    </cfRule>
  </conditionalFormatting>
  <conditionalFormatting sqref="R33">
    <cfRule type="cellIs" dxfId="89" priority="82" operator="between">
      <formula>0.91</formula>
      <formula>5</formula>
    </cfRule>
    <cfRule type="cellIs" dxfId="88" priority="83" operator="between">
      <formula>0.8</formula>
      <formula>0.91</formula>
    </cfRule>
    <cfRule type="cellIs" dxfId="87" priority="84" operator="between">
      <formula>0.01</formula>
      <formula>0.8</formula>
    </cfRule>
  </conditionalFormatting>
  <conditionalFormatting sqref="R32">
    <cfRule type="cellIs" dxfId="86" priority="79" operator="between">
      <formula>0.91</formula>
      <formula>5</formula>
    </cfRule>
    <cfRule type="cellIs" dxfId="85" priority="80" operator="between">
      <formula>0.8</formula>
      <formula>0.91</formula>
    </cfRule>
    <cfRule type="cellIs" dxfId="84" priority="81" operator="between">
      <formula>0.01</formula>
      <formula>0.8</formula>
    </cfRule>
  </conditionalFormatting>
  <conditionalFormatting sqref="R31">
    <cfRule type="cellIs" dxfId="83" priority="76" operator="between">
      <formula>0.91</formula>
      <formula>5</formula>
    </cfRule>
    <cfRule type="cellIs" dxfId="82" priority="77" operator="between">
      <formula>0.8</formula>
      <formula>0.91</formula>
    </cfRule>
    <cfRule type="cellIs" dxfId="81" priority="78" operator="between">
      <formula>0.01</formula>
      <formula>0.8</formula>
    </cfRule>
  </conditionalFormatting>
  <conditionalFormatting sqref="R30">
    <cfRule type="cellIs" dxfId="80" priority="73" operator="between">
      <formula>0.91</formula>
      <formula>5</formula>
    </cfRule>
    <cfRule type="cellIs" dxfId="79" priority="74" operator="between">
      <formula>0.8</formula>
      <formula>0.91</formula>
    </cfRule>
    <cfRule type="cellIs" dxfId="78" priority="75" operator="between">
      <formula>0.01</formula>
      <formula>0.8</formula>
    </cfRule>
  </conditionalFormatting>
  <conditionalFormatting sqref="R29">
    <cfRule type="cellIs" dxfId="77" priority="70" operator="between">
      <formula>0.91</formula>
      <formula>5</formula>
    </cfRule>
    <cfRule type="cellIs" dxfId="76" priority="71" operator="between">
      <formula>0.8</formula>
      <formula>0.91</formula>
    </cfRule>
    <cfRule type="cellIs" dxfId="75" priority="72" operator="between">
      <formula>0.01</formula>
      <formula>0.8</formula>
    </cfRule>
  </conditionalFormatting>
  <conditionalFormatting sqref="R28">
    <cfRule type="cellIs" dxfId="74" priority="67" operator="between">
      <formula>0.91</formula>
      <formula>5</formula>
    </cfRule>
    <cfRule type="cellIs" dxfId="73" priority="68" operator="between">
      <formula>0.8</formula>
      <formula>0.91</formula>
    </cfRule>
    <cfRule type="cellIs" dxfId="72" priority="69" operator="between">
      <formula>0.01</formula>
      <formula>0.8</formula>
    </cfRule>
  </conditionalFormatting>
  <conditionalFormatting sqref="R27">
    <cfRule type="cellIs" dxfId="71" priority="64" operator="between">
      <formula>0.91</formula>
      <formula>5</formula>
    </cfRule>
    <cfRule type="cellIs" dxfId="70" priority="65" operator="between">
      <formula>0.8</formula>
      <formula>0.91</formula>
    </cfRule>
    <cfRule type="cellIs" dxfId="69" priority="66" operator="between">
      <formula>0.01</formula>
      <formula>0.8</formula>
    </cfRule>
  </conditionalFormatting>
  <conditionalFormatting sqref="R26">
    <cfRule type="cellIs" dxfId="68" priority="61" operator="between">
      <formula>0.91</formula>
      <formula>5</formula>
    </cfRule>
    <cfRule type="cellIs" dxfId="67" priority="62" operator="between">
      <formula>0.8</formula>
      <formula>0.91</formula>
    </cfRule>
    <cfRule type="cellIs" dxfId="66" priority="63" operator="between">
      <formula>0.01</formula>
      <formula>0.8</formula>
    </cfRule>
  </conditionalFormatting>
  <conditionalFormatting sqref="R25">
    <cfRule type="cellIs" dxfId="65" priority="58" operator="between">
      <formula>0.91</formula>
      <formula>5</formula>
    </cfRule>
    <cfRule type="cellIs" dxfId="64" priority="59" operator="between">
      <formula>0.8</formula>
      <formula>0.91</formula>
    </cfRule>
    <cfRule type="cellIs" dxfId="63" priority="60" operator="between">
      <formula>0.01</formula>
      <formula>0.8</formula>
    </cfRule>
  </conditionalFormatting>
  <conditionalFormatting sqref="R24">
    <cfRule type="cellIs" dxfId="62" priority="55" operator="between">
      <formula>0.91</formula>
      <formula>5</formula>
    </cfRule>
    <cfRule type="cellIs" dxfId="61" priority="56" operator="between">
      <formula>0.8</formula>
      <formula>0.91</formula>
    </cfRule>
    <cfRule type="cellIs" dxfId="60" priority="57" operator="between">
      <formula>0.01</formula>
      <formula>0.8</formula>
    </cfRule>
  </conditionalFormatting>
  <conditionalFormatting sqref="R23">
    <cfRule type="cellIs" dxfId="59" priority="52" operator="between">
      <formula>0.91</formula>
      <formula>5</formula>
    </cfRule>
    <cfRule type="cellIs" dxfId="58" priority="53" operator="between">
      <formula>0.8</formula>
      <formula>0.91</formula>
    </cfRule>
    <cfRule type="cellIs" dxfId="57" priority="54" operator="between">
      <formula>0.01</formula>
      <formula>0.8</formula>
    </cfRule>
  </conditionalFormatting>
  <conditionalFormatting sqref="R22">
    <cfRule type="cellIs" dxfId="56" priority="49" operator="between">
      <formula>0.91</formula>
      <formula>5</formula>
    </cfRule>
    <cfRule type="cellIs" dxfId="55" priority="50" operator="between">
      <formula>0.8</formula>
      <formula>0.91</formula>
    </cfRule>
    <cfRule type="cellIs" dxfId="54" priority="51" operator="between">
      <formula>0.01</formula>
      <formula>0.8</formula>
    </cfRule>
  </conditionalFormatting>
  <conditionalFormatting sqref="R21">
    <cfRule type="cellIs" dxfId="53" priority="46" operator="between">
      <formula>0.91</formula>
      <formula>5</formula>
    </cfRule>
    <cfRule type="cellIs" dxfId="52" priority="47" operator="between">
      <formula>0.8</formula>
      <formula>0.91</formula>
    </cfRule>
    <cfRule type="cellIs" dxfId="51" priority="48" operator="between">
      <formula>0.01</formula>
      <formula>0.8</formula>
    </cfRule>
  </conditionalFormatting>
  <conditionalFormatting sqref="R20">
    <cfRule type="cellIs" dxfId="50" priority="43" operator="between">
      <formula>0.91</formula>
      <formula>5</formula>
    </cfRule>
    <cfRule type="cellIs" dxfId="49" priority="44" operator="between">
      <formula>0.8</formula>
      <formula>0.91</formula>
    </cfRule>
    <cfRule type="cellIs" dxfId="48" priority="45" operator="between">
      <formula>0.01</formula>
      <formula>0.8</formula>
    </cfRule>
  </conditionalFormatting>
  <conditionalFormatting sqref="R19">
    <cfRule type="cellIs" dxfId="47" priority="40" operator="between">
      <formula>0.91</formula>
      <formula>5</formula>
    </cfRule>
    <cfRule type="cellIs" dxfId="46" priority="41" operator="between">
      <formula>0.8</formula>
      <formula>0.91</formula>
    </cfRule>
    <cfRule type="cellIs" dxfId="45" priority="42" operator="between">
      <formula>0.01</formula>
      <formula>0.8</formula>
    </cfRule>
  </conditionalFormatting>
  <conditionalFormatting sqref="R18">
    <cfRule type="cellIs" dxfId="44" priority="37" operator="between">
      <formula>0.91</formula>
      <formula>5</formula>
    </cfRule>
    <cfRule type="cellIs" dxfId="43" priority="38" operator="between">
      <formula>0.8</formula>
      <formula>0.91</formula>
    </cfRule>
    <cfRule type="cellIs" dxfId="42" priority="39" operator="between">
      <formula>0.01</formula>
      <formula>0.8</formula>
    </cfRule>
  </conditionalFormatting>
  <conditionalFormatting sqref="R17">
    <cfRule type="cellIs" dxfId="41" priority="34" operator="between">
      <formula>0.91</formula>
      <formula>5</formula>
    </cfRule>
    <cfRule type="cellIs" dxfId="40" priority="35" operator="between">
      <formula>0.8</formula>
      <formula>0.91</formula>
    </cfRule>
    <cfRule type="cellIs" dxfId="39" priority="36" operator="between">
      <formula>0.01</formula>
      <formula>0.8</formula>
    </cfRule>
  </conditionalFormatting>
  <conditionalFormatting sqref="R16">
    <cfRule type="cellIs" dxfId="38" priority="31" operator="between">
      <formula>0.91</formula>
      <formula>5</formula>
    </cfRule>
    <cfRule type="cellIs" dxfId="37" priority="32" operator="between">
      <formula>0.8</formula>
      <formula>0.91</formula>
    </cfRule>
    <cfRule type="cellIs" dxfId="36" priority="33" operator="between">
      <formula>0.01</formula>
      <formula>0.8</formula>
    </cfRule>
  </conditionalFormatting>
  <conditionalFormatting sqref="R15">
    <cfRule type="cellIs" dxfId="35" priority="28" operator="between">
      <formula>0.91</formula>
      <formula>5</formula>
    </cfRule>
    <cfRule type="cellIs" dxfId="34" priority="29" operator="between">
      <formula>0.8</formula>
      <formula>0.91</formula>
    </cfRule>
    <cfRule type="cellIs" dxfId="33" priority="30" operator="between">
      <formula>0.01</formula>
      <formula>0.8</formula>
    </cfRule>
  </conditionalFormatting>
  <conditionalFormatting sqref="R14">
    <cfRule type="cellIs" dxfId="32" priority="25" operator="between">
      <formula>0.91</formula>
      <formula>5</formula>
    </cfRule>
    <cfRule type="cellIs" dxfId="31" priority="26" operator="between">
      <formula>0.8</formula>
      <formula>0.91</formula>
    </cfRule>
    <cfRule type="cellIs" dxfId="30" priority="27" operator="between">
      <formula>0.01</formula>
      <formula>0.8</formula>
    </cfRule>
  </conditionalFormatting>
  <conditionalFormatting sqref="R13">
    <cfRule type="cellIs" dxfId="29" priority="22" operator="between">
      <formula>0.91</formula>
      <formula>5</formula>
    </cfRule>
    <cfRule type="cellIs" dxfId="28" priority="23" operator="between">
      <formula>0.8</formula>
      <formula>0.91</formula>
    </cfRule>
    <cfRule type="cellIs" dxfId="27" priority="24" operator="between">
      <formula>0.01</formula>
      <formula>0.8</formula>
    </cfRule>
  </conditionalFormatting>
  <conditionalFormatting sqref="R12">
    <cfRule type="cellIs" dxfId="26" priority="19" operator="between">
      <formula>0.91</formula>
      <formula>5</formula>
    </cfRule>
    <cfRule type="cellIs" dxfId="25" priority="20" operator="between">
      <formula>0.8</formula>
      <formula>0.91</formula>
    </cfRule>
    <cfRule type="cellIs" dxfId="24" priority="21" operator="between">
      <formula>0.01</formula>
      <formula>0.8</formula>
    </cfRule>
  </conditionalFormatting>
  <conditionalFormatting sqref="R11">
    <cfRule type="cellIs" dxfId="23" priority="16" operator="between">
      <formula>0.91</formula>
      <formula>5</formula>
    </cfRule>
    <cfRule type="cellIs" dxfId="22" priority="17" operator="between">
      <formula>0.8</formula>
      <formula>0.91</formula>
    </cfRule>
    <cfRule type="cellIs" dxfId="21" priority="18" operator="between">
      <formula>0.01</formula>
      <formula>0.8</formula>
    </cfRule>
  </conditionalFormatting>
  <conditionalFormatting sqref="R10">
    <cfRule type="cellIs" dxfId="20" priority="13" operator="between">
      <formula>0.91</formula>
      <formula>5</formula>
    </cfRule>
    <cfRule type="cellIs" dxfId="19" priority="14" operator="between">
      <formula>0.8</formula>
      <formula>0.91</formula>
    </cfRule>
    <cfRule type="cellIs" dxfId="18" priority="15" operator="between">
      <formula>0.01</formula>
      <formula>0.8</formula>
    </cfRule>
  </conditionalFormatting>
  <conditionalFormatting sqref="R9">
    <cfRule type="cellIs" dxfId="17" priority="10" operator="between">
      <formula>0.91</formula>
      <formula>5</formula>
    </cfRule>
    <cfRule type="cellIs" dxfId="16" priority="11" operator="between">
      <formula>0.8</formula>
      <formula>0.91</formula>
    </cfRule>
    <cfRule type="cellIs" dxfId="15" priority="12" operator="between">
      <formula>0.01</formula>
      <formula>0.8</formula>
    </cfRule>
  </conditionalFormatting>
  <conditionalFormatting sqref="R8">
    <cfRule type="cellIs" dxfId="14" priority="7" operator="between">
      <formula>0.91</formula>
      <formula>5</formula>
    </cfRule>
    <cfRule type="cellIs" dxfId="13" priority="8" operator="between">
      <formula>0.8</formula>
      <formula>0.91</formula>
    </cfRule>
    <cfRule type="cellIs" dxfId="12" priority="9" operator="between">
      <formula>0.01</formula>
      <formula>0.8</formula>
    </cfRule>
  </conditionalFormatting>
  <conditionalFormatting sqref="R7">
    <cfRule type="cellIs" dxfId="11" priority="4" operator="between">
      <formula>0.91</formula>
      <formula>5</formula>
    </cfRule>
    <cfRule type="cellIs" dxfId="10" priority="5" operator="between">
      <formula>0.8</formula>
      <formula>0.91</formula>
    </cfRule>
    <cfRule type="cellIs" dxfId="9" priority="6" operator="between">
      <formula>0.01</formula>
      <formula>0.8</formula>
    </cfRule>
  </conditionalFormatting>
  <conditionalFormatting sqref="R6">
    <cfRule type="cellIs" dxfId="8" priority="1" operator="between">
      <formula>0.91</formula>
      <formula>5</formula>
    </cfRule>
    <cfRule type="cellIs" dxfId="7" priority="2" operator="between">
      <formula>0.8</formula>
      <formula>0.91</formula>
    </cfRule>
    <cfRule type="cellIs" dxfId="6" priority="3" operator="between">
      <formula>0.01</formula>
      <formula>0.8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G31"/>
  <sheetViews>
    <sheetView showGridLines="0" workbookViewId="0"/>
  </sheetViews>
  <sheetFormatPr baseColWidth="10" defaultRowHeight="15"/>
  <cols>
    <col min="1" max="1" width="4.42578125" customWidth="1"/>
    <col min="2" max="2" width="25.28515625" customWidth="1"/>
    <col min="3" max="3" width="24.140625" customWidth="1"/>
    <col min="4" max="4" width="21.42578125" customWidth="1"/>
    <col min="5" max="5" width="20.7109375" customWidth="1"/>
    <col min="6" max="7" width="21.7109375" customWidth="1"/>
  </cols>
  <sheetData>
    <row r="2" spans="2:7" ht="15" customHeight="1">
      <c r="B2" s="92" t="s">
        <v>116</v>
      </c>
      <c r="C2" s="93"/>
      <c r="D2" s="94"/>
      <c r="E2" s="92" t="s">
        <v>149</v>
      </c>
      <c r="F2" s="93"/>
      <c r="G2" s="94"/>
    </row>
    <row r="3" spans="2:7" ht="25.5">
      <c r="B3" s="92" t="s">
        <v>0</v>
      </c>
      <c r="C3" s="94"/>
      <c r="D3" s="25" t="s">
        <v>59</v>
      </c>
      <c r="E3" s="25" t="s">
        <v>5</v>
      </c>
      <c r="F3" s="28" t="s">
        <v>4</v>
      </c>
      <c r="G3" s="26" t="s">
        <v>60</v>
      </c>
    </row>
    <row r="4" spans="2:7">
      <c r="B4" s="95"/>
      <c r="C4" s="96"/>
      <c r="D4" s="24">
        <f ca="1">SUMIF('Oper.Nombre '!C:F,Resumen!B4,'Oper.Nombre '!L:L)</f>
        <v>0</v>
      </c>
      <c r="E4" s="24">
        <f ca="1">SUMIF('Oper.Nombre '!C:F,Resumen!B4,'Oper.Nombre '!Q:Q)</f>
        <v>0</v>
      </c>
      <c r="F4" s="27" t="e">
        <f ca="1">D4/E4</f>
        <v>#DIV/0!</v>
      </c>
      <c r="G4" s="27" t="e">
        <f ca="1">1-F4</f>
        <v>#DIV/0!</v>
      </c>
    </row>
    <row r="5" spans="2:7">
      <c r="B5" s="95"/>
      <c r="C5" s="96"/>
      <c r="D5" s="24">
        <f ca="1">SUMIF('Oper.Nombre '!C:F,Resumen!B5,'Oper.Nombre '!L:L)</f>
        <v>0</v>
      </c>
      <c r="E5" s="24">
        <f ca="1">SUMIF('Oper.Nombre '!C:F,Resumen!B5,'Oper.Nombre '!Q:Q)</f>
        <v>0</v>
      </c>
      <c r="F5" s="27" t="e">
        <f t="shared" ref="F5:F10" ca="1" si="0">D5/E5</f>
        <v>#DIV/0!</v>
      </c>
      <c r="G5" s="27" t="e">
        <f t="shared" ref="G5:G10" ca="1" si="1">1-F5</f>
        <v>#DIV/0!</v>
      </c>
    </row>
    <row r="6" spans="2:7">
      <c r="B6" s="95"/>
      <c r="C6" s="96"/>
      <c r="D6" s="24">
        <f ca="1">SUMIF('Oper.Nombre '!C:F,Resumen!B6,'Oper.Nombre '!L:L)</f>
        <v>0</v>
      </c>
      <c r="E6" s="24">
        <f ca="1">SUMIF('Oper.Nombre '!C:F,Resumen!B6,'Oper.Nombre '!Q:Q)</f>
        <v>0</v>
      </c>
      <c r="F6" s="27" t="e">
        <f t="shared" ca="1" si="0"/>
        <v>#DIV/0!</v>
      </c>
      <c r="G6" s="27" t="e">
        <f t="shared" ca="1" si="1"/>
        <v>#DIV/0!</v>
      </c>
    </row>
    <row r="7" spans="2:7">
      <c r="B7" s="95"/>
      <c r="C7" s="96"/>
      <c r="D7" s="24">
        <f ca="1">SUMIF('Oper.Nombre '!C:F,Resumen!B7,'Oper.Nombre '!L:L)</f>
        <v>0</v>
      </c>
      <c r="E7" s="24">
        <f ca="1">SUMIF('Oper.Nombre '!C:F,Resumen!B7,'Oper.Nombre '!Q:Q)</f>
        <v>0</v>
      </c>
      <c r="F7" s="27" t="e">
        <f t="shared" ca="1" si="0"/>
        <v>#DIV/0!</v>
      </c>
      <c r="G7" s="27" t="e">
        <f t="shared" ca="1" si="1"/>
        <v>#DIV/0!</v>
      </c>
    </row>
    <row r="8" spans="2:7">
      <c r="B8" s="95"/>
      <c r="C8" s="96"/>
      <c r="D8" s="24">
        <f ca="1">SUMIF('Oper.Nombre '!C:F,Resumen!B8,'Oper.Nombre '!L:L)</f>
        <v>0</v>
      </c>
      <c r="E8" s="24">
        <f ca="1">SUMIF('Oper.Nombre '!C:F,Resumen!B8,'Oper.Nombre '!Q:Q)</f>
        <v>0</v>
      </c>
      <c r="F8" s="27" t="e">
        <f t="shared" ca="1" si="0"/>
        <v>#DIV/0!</v>
      </c>
      <c r="G8" s="27" t="e">
        <f t="shared" ca="1" si="1"/>
        <v>#DIV/0!</v>
      </c>
    </row>
    <row r="9" spans="2:7">
      <c r="B9" s="95"/>
      <c r="C9" s="96"/>
      <c r="D9" s="24">
        <f ca="1">SUMIF('Oper.Nombre '!C:F,Resumen!B9,'Oper.Nombre '!L:L)</f>
        <v>0</v>
      </c>
      <c r="E9" s="24">
        <f ca="1">SUMIF('Oper.Nombre '!C:F,Resumen!B9,'Oper.Nombre '!Q:Q)</f>
        <v>0</v>
      </c>
      <c r="F9" s="27" t="e">
        <f t="shared" ca="1" si="0"/>
        <v>#DIV/0!</v>
      </c>
      <c r="G9" s="27" t="e">
        <f t="shared" ca="1" si="1"/>
        <v>#DIV/0!</v>
      </c>
    </row>
    <row r="10" spans="2:7">
      <c r="B10" s="95"/>
      <c r="C10" s="96"/>
      <c r="D10" s="24">
        <f ca="1">SUMIF('Oper.Nombre '!C:F,Resumen!B10,'Oper.Nombre '!L:L)</f>
        <v>0</v>
      </c>
      <c r="E10" s="24">
        <f ca="1">SUMIF('Oper.Nombre '!C:F,Resumen!B10,'Oper.Nombre '!Q:Q)</f>
        <v>0</v>
      </c>
      <c r="F10" s="27" t="e">
        <f t="shared" ca="1" si="0"/>
        <v>#DIV/0!</v>
      </c>
      <c r="G10" s="27" t="e">
        <f t="shared" ca="1" si="1"/>
        <v>#DIV/0!</v>
      </c>
    </row>
    <row r="11" spans="2:7">
      <c r="B11" s="95"/>
      <c r="C11" s="96"/>
      <c r="D11" s="24">
        <f ca="1">SUMIF('Oper.Nombre '!C:F,Resumen!B11,'Oper.Nombre '!L:L)</f>
        <v>0</v>
      </c>
      <c r="E11" s="24">
        <f ca="1">SUMIF('Oper.Nombre '!C:F,Resumen!B11,'Oper.Nombre '!Q:Q)</f>
        <v>0</v>
      </c>
      <c r="F11" s="27" t="e">
        <f t="shared" ref="F11:F22" ca="1" si="2">D11/E11</f>
        <v>#DIV/0!</v>
      </c>
      <c r="G11" s="27" t="e">
        <f t="shared" ref="G11:G22" ca="1" si="3">1-F11</f>
        <v>#DIV/0!</v>
      </c>
    </row>
    <row r="12" spans="2:7">
      <c r="B12" s="95"/>
      <c r="C12" s="96"/>
      <c r="D12" s="24">
        <f ca="1">SUMIF('Oper.Nombre '!C:F,Resumen!B12,'Oper.Nombre '!L:L)</f>
        <v>0</v>
      </c>
      <c r="E12" s="24">
        <f ca="1">SUMIF('Oper.Nombre '!C:F,Resumen!B12,'Oper.Nombre '!Q:Q)</f>
        <v>0</v>
      </c>
      <c r="F12" s="27" t="e">
        <f t="shared" ca="1" si="2"/>
        <v>#DIV/0!</v>
      </c>
      <c r="G12" s="27" t="e">
        <f t="shared" ca="1" si="3"/>
        <v>#DIV/0!</v>
      </c>
    </row>
    <row r="13" spans="2:7">
      <c r="B13" s="95"/>
      <c r="C13" s="96"/>
      <c r="D13" s="24">
        <f ca="1">SUMIF('Oper.Nombre '!C:F,Resumen!B13,'Oper.Nombre '!L:L)</f>
        <v>0</v>
      </c>
      <c r="E13" s="24">
        <f ca="1">SUMIF('Oper.Nombre '!C:F,Resumen!B13,'Oper.Nombre '!Q:Q)</f>
        <v>0</v>
      </c>
      <c r="F13" s="27" t="e">
        <f t="shared" ca="1" si="2"/>
        <v>#DIV/0!</v>
      </c>
      <c r="G13" s="27" t="e">
        <f t="shared" ca="1" si="3"/>
        <v>#DIV/0!</v>
      </c>
    </row>
    <row r="14" spans="2:7">
      <c r="B14" s="95"/>
      <c r="C14" s="96"/>
      <c r="D14" s="24">
        <f ca="1">SUMIF('Oper.Nombre '!C:F,Resumen!B14,'Oper.Nombre '!L:L)</f>
        <v>0</v>
      </c>
      <c r="E14" s="24">
        <f ca="1">SUMIF('Oper.Nombre '!C:F,Resumen!B14,'Oper.Nombre '!Q:Q)</f>
        <v>0</v>
      </c>
      <c r="F14" s="27" t="e">
        <f t="shared" ca="1" si="2"/>
        <v>#DIV/0!</v>
      </c>
      <c r="G14" s="27" t="e">
        <f t="shared" ca="1" si="3"/>
        <v>#DIV/0!</v>
      </c>
    </row>
    <row r="15" spans="2:7">
      <c r="B15" s="95"/>
      <c r="C15" s="96"/>
      <c r="D15" s="24">
        <f ca="1">SUMIF('Oper.Nombre '!C:F,Resumen!B15,'Oper.Nombre '!L:L)</f>
        <v>0</v>
      </c>
      <c r="E15" s="24">
        <f ca="1">SUMIF('Oper.Nombre '!C:F,Resumen!B15,'Oper.Nombre '!Q:Q)</f>
        <v>0</v>
      </c>
      <c r="F15" s="27" t="e">
        <f t="shared" ca="1" si="2"/>
        <v>#DIV/0!</v>
      </c>
      <c r="G15" s="27" t="e">
        <f t="shared" ca="1" si="3"/>
        <v>#DIV/0!</v>
      </c>
    </row>
    <row r="16" spans="2:7">
      <c r="B16" s="95"/>
      <c r="C16" s="96"/>
      <c r="D16" s="24">
        <f ca="1">SUMIF('Oper.Nombre '!C:F,Resumen!B16,'Oper.Nombre '!L:L)</f>
        <v>0</v>
      </c>
      <c r="E16" s="24">
        <f ca="1">SUMIF('Oper.Nombre '!C:F,Resumen!B16,'Oper.Nombre '!Q:Q)</f>
        <v>0</v>
      </c>
      <c r="F16" s="27" t="e">
        <f t="shared" ca="1" si="2"/>
        <v>#DIV/0!</v>
      </c>
      <c r="G16" s="27" t="e">
        <f t="shared" ca="1" si="3"/>
        <v>#DIV/0!</v>
      </c>
    </row>
    <row r="17" spans="2:7">
      <c r="B17" s="95"/>
      <c r="C17" s="96"/>
      <c r="D17" s="24">
        <f ca="1">SUMIF('Oper.Nombre '!C:F,Resumen!B17,'Oper.Nombre '!L:L)</f>
        <v>0</v>
      </c>
      <c r="E17" s="24">
        <f ca="1">SUMIF('Oper.Nombre '!C:F,Resumen!B17,'Oper.Nombre '!Q:Q)</f>
        <v>0</v>
      </c>
      <c r="F17" s="27" t="e">
        <f t="shared" ca="1" si="2"/>
        <v>#DIV/0!</v>
      </c>
      <c r="G17" s="27" t="e">
        <f t="shared" ca="1" si="3"/>
        <v>#DIV/0!</v>
      </c>
    </row>
    <row r="18" spans="2:7">
      <c r="B18" s="95"/>
      <c r="C18" s="96"/>
      <c r="D18" s="24">
        <f ca="1">SUMIF('Oper.Nombre '!C:F,Resumen!B18,'Oper.Nombre '!L:L)</f>
        <v>0</v>
      </c>
      <c r="E18" s="24">
        <f ca="1">SUMIF('Oper.Nombre '!C:F,Resumen!B18,'Oper.Nombre '!Q:Q)</f>
        <v>0</v>
      </c>
      <c r="F18" s="27" t="e">
        <f t="shared" ca="1" si="2"/>
        <v>#DIV/0!</v>
      </c>
      <c r="G18" s="27" t="e">
        <f t="shared" ca="1" si="3"/>
        <v>#DIV/0!</v>
      </c>
    </row>
    <row r="19" spans="2:7">
      <c r="B19" s="95"/>
      <c r="C19" s="96"/>
      <c r="D19" s="24">
        <f ca="1">SUMIF('Oper.Nombre '!C:F,Resumen!B19,'Oper.Nombre '!L:L)</f>
        <v>0</v>
      </c>
      <c r="E19" s="24">
        <f ca="1">SUMIF('Oper.Nombre '!C:F,Resumen!B19,'Oper.Nombre '!Q:Q)</f>
        <v>0</v>
      </c>
      <c r="F19" s="27" t="e">
        <f t="shared" ca="1" si="2"/>
        <v>#DIV/0!</v>
      </c>
      <c r="G19" s="27" t="e">
        <f t="shared" ca="1" si="3"/>
        <v>#DIV/0!</v>
      </c>
    </row>
    <row r="20" spans="2:7">
      <c r="B20" s="95"/>
      <c r="C20" s="96"/>
      <c r="D20" s="24">
        <f ca="1">SUMIF('Oper.Nombre '!C:F,Resumen!B20,'Oper.Nombre '!L:L)</f>
        <v>0</v>
      </c>
      <c r="E20" s="24">
        <f ca="1">SUMIF('Oper.Nombre '!C:F,Resumen!B20,'Oper.Nombre '!Q:Q)</f>
        <v>0</v>
      </c>
      <c r="F20" s="27" t="e">
        <f t="shared" ca="1" si="2"/>
        <v>#DIV/0!</v>
      </c>
      <c r="G20" s="27" t="e">
        <f t="shared" ca="1" si="3"/>
        <v>#DIV/0!</v>
      </c>
    </row>
    <row r="21" spans="2:7">
      <c r="B21" s="95"/>
      <c r="C21" s="96"/>
      <c r="D21" s="24">
        <f ca="1">SUMIF('Oper.Nombre '!C:F,Resumen!B21,'Oper.Nombre '!L:L)</f>
        <v>0</v>
      </c>
      <c r="E21" s="24">
        <f ca="1">SUMIF('Oper.Nombre '!C:F,Resumen!B21,'Oper.Nombre '!Q:Q)</f>
        <v>0</v>
      </c>
      <c r="F21" s="27" t="e">
        <f t="shared" ca="1" si="2"/>
        <v>#DIV/0!</v>
      </c>
      <c r="G21" s="27" t="e">
        <f t="shared" ca="1" si="3"/>
        <v>#DIV/0!</v>
      </c>
    </row>
    <row r="22" spans="2:7">
      <c r="B22" s="95"/>
      <c r="C22" s="96"/>
      <c r="D22" s="24">
        <f ca="1">SUMIF('Oper.Nombre '!C:F,Resumen!B22,'Oper.Nombre '!L:L)</f>
        <v>0</v>
      </c>
      <c r="E22" s="24">
        <f ca="1">SUMIF('Oper.Nombre '!C:F,Resumen!B22,'Oper.Nombre '!Q:Q)</f>
        <v>0</v>
      </c>
      <c r="F22" s="27" t="e">
        <f t="shared" ca="1" si="2"/>
        <v>#DIV/0!</v>
      </c>
      <c r="G22" s="27" t="e">
        <f t="shared" ca="1" si="3"/>
        <v>#DIV/0!</v>
      </c>
    </row>
    <row r="23" spans="2:7">
      <c r="B23" s="95"/>
      <c r="C23" s="96"/>
      <c r="D23" s="24">
        <f ca="1">SUMIF('Oper.Nombre '!C:F,Resumen!B23,'Oper.Nombre '!L:L)</f>
        <v>0</v>
      </c>
      <c r="E23" s="24">
        <f ca="1">SUMIF('Oper.Nombre '!C:F,Resumen!B23,'Oper.Nombre '!Q:Q)</f>
        <v>0</v>
      </c>
      <c r="F23" s="27" t="e">
        <f t="shared" ref="F23" ca="1" si="4">D23/E23</f>
        <v>#DIV/0!</v>
      </c>
      <c r="G23" s="27" t="e">
        <f t="shared" ref="G23" ca="1" si="5">1-F23</f>
        <v>#DIV/0!</v>
      </c>
    </row>
    <row r="24" spans="2:7">
      <c r="B24" s="37"/>
      <c r="C24" s="38"/>
      <c r="D24" s="39"/>
      <c r="E24" s="39"/>
      <c r="F24" s="40"/>
      <c r="G24" s="40"/>
    </row>
    <row r="25" spans="2:7">
      <c r="B25" s="37"/>
      <c r="C25" s="38"/>
      <c r="D25" s="39"/>
      <c r="E25" s="39"/>
      <c r="F25" s="40"/>
      <c r="G25" s="40"/>
    </row>
    <row r="26" spans="2:7">
      <c r="B26" s="37"/>
      <c r="C26" s="38"/>
      <c r="D26" s="39"/>
      <c r="E26" s="39"/>
      <c r="F26" s="40"/>
      <c r="G26" s="40"/>
    </row>
    <row r="27" spans="2:7">
      <c r="B27" s="37"/>
      <c r="C27" s="38"/>
      <c r="D27" s="39"/>
      <c r="E27" s="39"/>
      <c r="F27" s="40"/>
      <c r="G27" s="40"/>
    </row>
    <row r="28" spans="2:7">
      <c r="B28" s="37"/>
      <c r="C28" s="38"/>
      <c r="D28" s="39"/>
      <c r="E28" s="39"/>
      <c r="F28" s="40"/>
      <c r="G28" s="40"/>
    </row>
    <row r="29" spans="2:7">
      <c r="B29" s="37"/>
      <c r="C29" s="38"/>
      <c r="D29" s="39"/>
      <c r="E29" s="39"/>
      <c r="F29" s="40"/>
      <c r="G29" s="40"/>
    </row>
    <row r="30" spans="2:7">
      <c r="B30" s="37"/>
      <c r="C30" s="38"/>
      <c r="D30" s="39"/>
      <c r="E30" s="39"/>
      <c r="F30" s="40"/>
      <c r="G30" s="40"/>
    </row>
    <row r="31" spans="2:7">
      <c r="B31" s="37"/>
      <c r="C31" s="38"/>
      <c r="D31" s="39"/>
      <c r="E31" s="39"/>
      <c r="F31" s="40"/>
      <c r="G31" s="40"/>
    </row>
  </sheetData>
  <mergeCells count="23">
    <mergeCell ref="B18:C18"/>
    <mergeCell ref="B19:C19"/>
    <mergeCell ref="B13:C13"/>
    <mergeCell ref="B14:C14"/>
    <mergeCell ref="B15:C15"/>
    <mergeCell ref="B16:C16"/>
    <mergeCell ref="B17:C17"/>
    <mergeCell ref="E2:G2"/>
    <mergeCell ref="B3:C3"/>
    <mergeCell ref="B23:C23"/>
    <mergeCell ref="B21:C21"/>
    <mergeCell ref="B22:C22"/>
    <mergeCell ref="B20:C20"/>
    <mergeCell ref="B2:D2"/>
    <mergeCell ref="B4:C4"/>
    <mergeCell ref="B5:C5"/>
    <mergeCell ref="B6:C6"/>
    <mergeCell ref="B7:C7"/>
    <mergeCell ref="B8:C8"/>
    <mergeCell ref="B9:C9"/>
    <mergeCell ref="B10:C10"/>
    <mergeCell ref="B11:C11"/>
    <mergeCell ref="B12:C12"/>
  </mergeCells>
  <conditionalFormatting sqref="G3">
    <cfRule type="cellIs" dxfId="5" priority="7" operator="between">
      <formula>0.91</formula>
      <formula>2</formula>
    </cfRule>
    <cfRule type="cellIs" dxfId="4" priority="8" operator="between">
      <formula>0.8</formula>
      <formula>0.9</formula>
    </cfRule>
    <cfRule type="cellIs" dxfId="3" priority="9" operator="between">
      <formula>0.01</formula>
      <formula>0.8</formula>
    </cfRule>
  </conditionalFormatting>
  <conditionalFormatting sqref="F3">
    <cfRule type="cellIs" dxfId="2" priority="4" operator="between">
      <formula>0.91</formula>
      <formula>2</formula>
    </cfRule>
    <cfRule type="cellIs" dxfId="1" priority="5" operator="between">
      <formula>0.8</formula>
      <formula>0.9</formula>
    </cfRule>
    <cfRule type="cellIs" dxfId="0" priority="6" operator="between">
      <formula>0.01</formula>
      <formula>0.8</formula>
    </cfRule>
  </conditionalFormatting>
  <dataValidations count="2">
    <dataValidation type="list" allowBlank="1" showInputMessage="1" showErrorMessage="1" sqref="E2:G2">
      <formula1>"SCOTIABANK_COLPATRIA, VANTI_CALIMAS,VANTI_ALAMOS,CUSTODIA_COTA,CUSTODIA_ALAMOS,LEGRAND,BANCO_DE_LA_REPUBLICA "</formula1>
    </dataValidation>
    <dataValidation type="list" allowBlank="1" showInputMessage="1" showErrorMessage="1" sqref="B24:B31">
      <formula1>$L$4:$L$108</formula1>
    </dataValidation>
  </dataValidations>
  <pageMargins left="0.7" right="0.7" top="0.75" bottom="0.75" header="0.3" footer="0.3"/>
  <pageSetup paperSize="9" orientation="portrait" r:id="rId1"/>
  <ignoredErrors>
    <ignoredError sqref="F15:G15 F20:G20" evalError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'Registro de estadistica '!$K$4:$K$23</xm:f>
          </x14:formula1>
          <xm:sqref>B4:C23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Tabla de proceso</vt:lpstr>
      <vt:lpstr>Registro de estadistica </vt:lpstr>
      <vt:lpstr>Oper.Nombre </vt:lpstr>
      <vt:lpstr>Resumen</vt:lpstr>
      <vt:lpstr>'Tabla de proceso'!Área_de_impresión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Digitalizacion</dc:creator>
  <cp:lastModifiedBy>Custodia</cp:lastModifiedBy>
  <cp:lastPrinted>2022-10-10T20:19:50Z</cp:lastPrinted>
  <dcterms:created xsi:type="dcterms:W3CDTF">2015-06-05T18:19:34Z</dcterms:created>
  <dcterms:modified xsi:type="dcterms:W3CDTF">2025-08-21T13:04:18Z</dcterms:modified>
</cp:coreProperties>
</file>