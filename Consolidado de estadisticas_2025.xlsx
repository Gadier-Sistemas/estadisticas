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Administracion\Proyectos\Carpeta compartida_2024\"/>
    </mc:Choice>
  </mc:AlternateContent>
  <bookViews>
    <workbookView xWindow="0" yWindow="0" windowWidth="15525" windowHeight="11490"/>
  </bookViews>
  <sheets>
    <sheet name="Tiempos " sheetId="1" r:id="rId1"/>
  </sheets>
  <definedNames>
    <definedName name="_xlnm._FilterDatabase" localSheetId="0" hidden="1">'Tiempos '!$A$1:$I$143</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5" i="1" l="1"/>
  <c r="H25" i="1" s="1"/>
  <c r="G24" i="1"/>
  <c r="H24" i="1" s="1"/>
  <c r="G143" i="1" l="1"/>
  <c r="H143" i="1" s="1"/>
  <c r="G142" i="1"/>
  <c r="H142" i="1" s="1"/>
  <c r="G141" i="1"/>
  <c r="H141" i="1" s="1"/>
  <c r="G140" i="1"/>
  <c r="H140" i="1" s="1"/>
  <c r="G139" i="1"/>
  <c r="H139" i="1" s="1"/>
  <c r="G138" i="1"/>
  <c r="H138" i="1" s="1"/>
  <c r="G137" i="1"/>
  <c r="H137" i="1" s="1"/>
  <c r="G136" i="1"/>
  <c r="H136" i="1" s="1"/>
  <c r="G135" i="1"/>
  <c r="H135" i="1" s="1"/>
  <c r="G134" i="1"/>
  <c r="H134" i="1" s="1"/>
  <c r="G133" i="1"/>
  <c r="H133" i="1" s="1"/>
  <c r="G132" i="1"/>
  <c r="H132" i="1" s="1"/>
  <c r="G131" i="1"/>
  <c r="H131" i="1" s="1"/>
  <c r="G130" i="1"/>
  <c r="H130" i="1" s="1"/>
  <c r="G129" i="1"/>
  <c r="H129" i="1" s="1"/>
  <c r="G128" i="1"/>
  <c r="H128" i="1" s="1"/>
  <c r="G127" i="1"/>
  <c r="H127" i="1" s="1"/>
  <c r="G126" i="1"/>
  <c r="H126" i="1" s="1"/>
  <c r="G125" i="1"/>
  <c r="H125" i="1" s="1"/>
  <c r="G124" i="1"/>
  <c r="H124" i="1" s="1"/>
  <c r="G123" i="1"/>
  <c r="H123" i="1" s="1"/>
  <c r="G122" i="1"/>
  <c r="H122" i="1" s="1"/>
  <c r="G121" i="1"/>
  <c r="H121" i="1" s="1"/>
  <c r="G120" i="1"/>
  <c r="H120" i="1" s="1"/>
  <c r="F117" i="1" l="1"/>
  <c r="F116" i="1"/>
  <c r="H119" i="1"/>
  <c r="F119" i="1"/>
  <c r="H118" i="1"/>
  <c r="F118" i="1"/>
  <c r="H117" i="1"/>
  <c r="H116" i="1"/>
  <c r="H115" i="1"/>
  <c r="F115" i="1"/>
  <c r="H114" i="1"/>
  <c r="F114" i="1"/>
  <c r="H113" i="1"/>
  <c r="F113" i="1"/>
  <c r="H112" i="1"/>
  <c r="F112" i="1"/>
  <c r="H111" i="1"/>
  <c r="F111" i="1"/>
  <c r="H110" i="1"/>
  <c r="F110" i="1"/>
  <c r="H109" i="1"/>
  <c r="F109" i="1"/>
  <c r="H108" i="1"/>
  <c r="F108" i="1"/>
  <c r="H107" i="1"/>
  <c r="F107" i="1"/>
  <c r="H106" i="1"/>
  <c r="F106" i="1"/>
  <c r="H105" i="1"/>
  <c r="F105" i="1"/>
  <c r="H104" i="1"/>
  <c r="F104" i="1"/>
  <c r="H103" i="1"/>
  <c r="F103" i="1"/>
  <c r="H102" i="1"/>
  <c r="F102" i="1"/>
  <c r="H101" i="1"/>
  <c r="F101" i="1"/>
  <c r="H100" i="1"/>
  <c r="F100" i="1"/>
  <c r="H99" i="1"/>
  <c r="F99" i="1"/>
  <c r="H98" i="1"/>
  <c r="F98" i="1"/>
  <c r="H97" i="1"/>
  <c r="F97" i="1"/>
  <c r="H96" i="1"/>
  <c r="F96" i="1"/>
  <c r="H95" i="1"/>
  <c r="F95" i="1"/>
  <c r="H94" i="1"/>
  <c r="F94" i="1"/>
  <c r="H93" i="1"/>
  <c r="F93" i="1"/>
  <c r="H92" i="1"/>
  <c r="F92" i="1"/>
  <c r="H91" i="1"/>
  <c r="F91" i="1"/>
  <c r="H90" i="1"/>
  <c r="F90" i="1"/>
  <c r="H89" i="1"/>
  <c r="F89" i="1"/>
  <c r="H88" i="1"/>
  <c r="F88" i="1"/>
  <c r="H87" i="1"/>
  <c r="F87" i="1"/>
  <c r="H86" i="1"/>
  <c r="F86" i="1"/>
  <c r="H85" i="1"/>
  <c r="F85" i="1"/>
  <c r="H84" i="1"/>
  <c r="F84" i="1"/>
  <c r="G67" i="1" l="1"/>
  <c r="H67" i="1" s="1"/>
</calcChain>
</file>

<file path=xl/sharedStrings.xml><?xml version="1.0" encoding="utf-8"?>
<sst xmlns="http://schemas.openxmlformats.org/spreadsheetml/2006/main" count="861" uniqueCount="316">
  <si>
    <t>Nombre de proceso</t>
  </si>
  <si>
    <t>Sistema de Gestión Documental</t>
  </si>
  <si>
    <t>Indexación</t>
  </si>
  <si>
    <t>Proyecto</t>
  </si>
  <si>
    <t>Vanti</t>
  </si>
  <si>
    <t>Unidad de Medida</t>
  </si>
  <si>
    <t>Proyección*Minuto</t>
  </si>
  <si>
    <t>Proyección*Hora</t>
  </si>
  <si>
    <t>Proyección*Diara</t>
  </si>
  <si>
    <t xml:space="preserve">1. Selección de imagen indexar 
2. Exportar las imágenes al gestor de contenidos láser fiche.
3. Se modifica el nombre del SR que corresponda. 
4. Visualiza el documento.
5. Registra los siguientes campos:
- Numero de SR
- Sociedad
- Póliza 
- Fecha de visita 
- Tipo de documento
- Mercado 
- Caja
- Cuenta contrato
</t>
  </si>
  <si>
    <t>Registro.</t>
  </si>
  <si>
    <t>Alistamiento</t>
  </si>
  <si>
    <t xml:space="preserve">1. Pegado de SR. 
2. Desenganche de documentos. 
3. Desdoblar los documentos. 
4. Alinear documentos. 
5. Diligenciamiento de formato.
</t>
  </si>
  <si>
    <t>Unidad documental.</t>
  </si>
  <si>
    <t xml:space="preserve">1. Verificar la cuenta contrato y/o póliza
2. Verificar la cantidad de imágenes vs el archivo de recepción de documentos. 
3. Verificar la fecha de visita 
4. Organización por referencia.
5. Se ubica el documento dependiendo de su serie documental PQR, RECLAMOS, RECURSOS
6. Se cuenta la cantidad de imágenes a digitalizar 
7. Las imágenes escaneadas se guardan en la carpeta correspondencia.
8. Cargar las imágenes al gestor de contenidos laser fiche
9. Se registran 6 campos en el gestor de contenido laser fiche
10. Perfora el documento (esto se hace en la digitalización para que rinda más en la inserción)
</t>
  </si>
  <si>
    <t>Imagen.</t>
  </si>
  <si>
    <t>Digitalizacion (Con Metadatos)</t>
  </si>
  <si>
    <t>Grapado</t>
  </si>
  <si>
    <t xml:space="preserve">1. Doblar el documento de seguro de vida 
2. Alinear documentos
3. Grapado 
</t>
  </si>
  <si>
    <t>Clasificación</t>
  </si>
  <si>
    <t xml:space="preserve">1. Clasifica por filiales
2. Se clasifica por consecutivo.
3. Se clasifica por cuenta contrato la cual es separada por los 4 primeros dígitos, luego los organiza por los 4 últimos dígitos.
</t>
  </si>
  <si>
    <t xml:space="preserve">1. Se ordena por número de caja
2. Se ordena por número de paquete
3. Se ordena por fecha de recepción
</t>
  </si>
  <si>
    <t xml:space="preserve">1 . Se verifica en el correo electronico el envio por parte de radicacion la relacion del paquete fisico (tapa)
2.Se puntea fisico vs tapa verificando cuenta contrato y oferta.
3. para el caso de los negocios financiados se verifica el pagare contra tapa. este aplica para la filial de bogota para el caso de la filial de CUNDI, GAS NACER , GAS ORIENTE se verifica que el pagare este dentro del negocio.
4. se coloca fecha de recepcion y se registra la planilla </t>
  </si>
  <si>
    <t>Punteo</t>
  </si>
  <si>
    <t>Punteo libro de Obra</t>
  </si>
  <si>
    <t xml:space="preserve">1. Verificación de envió de relación de libros de obra por cantidad de unidades documentales 
2. Punteo de unidades documentales vs planillas
3. Elaboración de portada
4. Confirmar por correo electrónico y/o envía inconsistencias y devoluciones.
5. Elabora portada.
</t>
  </si>
  <si>
    <t>Inserción</t>
  </si>
  <si>
    <t xml:space="preserve">1. Verifica el número de consecutivo en que quedo la historia laboral a procesar.
2. Retoma el consecutivo de la historia laboral y la enumera en la parte superior derecha con lápiz.
3.  Perfora los documentos a insertar. 
4. Guarda la carpeta física en el mobiliario. 
</t>
  </si>
  <si>
    <t>Foliación</t>
  </si>
  <si>
    <t xml:space="preserve">1. Asignar radicado  para indicar que se está gestionando la consulta 
2. Verificar la cuenta contrato y/o póliza. placa
3. Verificar en las bases de datos para identificar folio y numero de caja o para saber en que sede esta la caja o en archivo inactivo.
4. Fotocopiar el documento y realizar la entrega al funcionario. e imprime correo de la solicitud
5.se entrega a la persona 
6. se solicita firma del usuario en el correo( hoja impresa)  y planilla de prestamos.
7. se guarda la copia del documento en la caja. </t>
  </si>
  <si>
    <t>Consulta Por Expediente (Físico)</t>
  </si>
  <si>
    <t xml:space="preserve">1. Asignar radicado para indicar que se está gestionando la consulta 
2. Verificar la cuenta contrato, póliza o placas 
3. Verificar en el gestor documental que las imágenes solicitadas no se encuentren en el aplicativo.
4. Verificar en las bases de datos para identificar que el documento no se haya solicitado anteriormente. 
5. Registrar la información en el control de consultas para que el funcionario responsable de respuesta.
6. Escanear las imágenes. y dar la respuesta al cliente por medio del correo o dejar las imágenes en la ruta especificada por el cliente. 
</t>
  </si>
  <si>
    <t>Consulta Por Imagen.</t>
  </si>
  <si>
    <t xml:space="preserve">1. Verificación de bases por código, Nit, nombre del cliente
2. Validación de cuenta contrato
3. verificación vs planilla
</t>
  </si>
  <si>
    <t>Validación</t>
  </si>
  <si>
    <t>Digitalización Simple (Sin Metadatos)</t>
  </si>
  <si>
    <t xml:space="preserve">1. Configuración de escáner
2. Digitalizacion de imágenes
3. Separar Sr
4. Renombrar las imágenes (este paso se realiza en ocasiones cuando el programa no reconoce el SR)
5. Verificación de las imágenes digitalizadas que estén acorde a lo contratado.
</t>
  </si>
  <si>
    <t xml:space="preserve">1. Descarga la base la cual está en formato pdf. 
3. Desproteger el pdf.
4. Se copia la siguiente información del pdf.
•  Placa 
•  Número de paquete
•  Número de folios
•  Número de expediente
•  Certificación
•  Numero de factura 
•  Fecha de creación
•  Usuario 
•  Paquete
5. Control de Calidad
6. Asignación del número de la caja
</t>
  </si>
  <si>
    <t>Registro En Base De Datos</t>
  </si>
  <si>
    <t xml:space="preserve">1. Realizar la solicitud de Cajas de caja en el gestor de contenidos Laser Fiche
2. Armar cajas
3. Diligenciar el formulario único de Inventario.
4. Empacar las unidades, carpetas, paquetes 
5. Realizar la solicitud de envió de cajas al archivo Inactivo 
6. Ubicar cajas en zona de cargue.
</t>
  </si>
  <si>
    <t>Transferencia Cajas X300</t>
  </si>
  <si>
    <t>Caja.</t>
  </si>
  <si>
    <t xml:space="preserve">1. Se verifica la cuenta contrato
2. Fecha 
3. Resultado de visita
4. pega SR
5. Las inconsistencias presentadas del documento se dejan en la base de datos
Registra formato de la caja
</t>
  </si>
  <si>
    <t>Tipificación</t>
  </si>
  <si>
    <t>Punteo Tipificación</t>
  </si>
  <si>
    <t xml:space="preserve">1. Se verifica la cuenta contrato
2. Fecha 
3. pega SR
4. Las inconsistencias presentadas del documento se dejan en la base de datos
5. Registra formato de la caja.
6. Se realiza las devoluciones de los documentos físicos al funcionario del Organismo.
</t>
  </si>
  <si>
    <t>Ordenación</t>
  </si>
  <si>
    <t>Numeración</t>
  </si>
  <si>
    <t xml:space="preserve">1. Ubicar la documentación.
2. Se realiza la enumeración en la parte superior derecha en marcador negro a cada unidad documental ya sea compuesta o simple para la filial de Bogotá y cundi.
3. Ubicar la documentación la estantería.
</t>
  </si>
  <si>
    <t>Radicación e Indexación de Correspondencia</t>
  </si>
  <si>
    <t xml:space="preserve">Radicación:
1. Verifica que este creado el usuario si no esta se procede a realizar los siguientes pasos:
2. Ingresa los nombres y apellidos personas naturales, para empresas razón social.
3. Cedula para personas naturales, NIT para empresas
4. Dirección.
5. Búsqueda del usuario o área quien va dirigido el documento
6. Coloca label de radicado en el documento original y documento de la persona que radico el documento.
6. Entrega del documento.
Indexación
1. En el gestor documental se registra lo siguiente:
• Sociedad a la que pertenece los documentos y/o paquetes
• Asunto 
• Remitente 
• Numero de label 
</t>
  </si>
  <si>
    <t>Unidad documental. / Registro / Imagen</t>
  </si>
  <si>
    <t>Control De Calidad</t>
  </si>
  <si>
    <t>1. Seleccionar el proceso a realizar el control de calidad.
2. Tomar el 10% de lo realizado por el funcionario. 
3. Revisar aleatoriamente y realizar los cambios que surjan.
4. Registrar lo realizado en el control de pruebas aleatorias.</t>
  </si>
  <si>
    <t>Actividad</t>
  </si>
  <si>
    <t xml:space="preserve">Tipo proceso </t>
  </si>
  <si>
    <t>Servicio</t>
  </si>
  <si>
    <t>Operativo</t>
  </si>
  <si>
    <t>Creación Unidad Documental</t>
  </si>
  <si>
    <t>Scotiabank Colpatria</t>
  </si>
  <si>
    <t>Consulta AGI Original</t>
  </si>
  <si>
    <t xml:space="preserve">Unidad documental </t>
  </si>
  <si>
    <t xml:space="preserve">Encargado de Buzón: 
1. Recepción de consulta por correo
2. Validación de firmas autorizadas
3. Validación información del formato SAF 
4. Búsqueda de información en base SIRCAI
5. Validar y actualizar información de la solicitud
6. Asignación de AGI, diligenciando control con 8 datos y copiar por correo electrónico, a la bodega donde se encuentra la información.
Encargado de Bodega:
1. Recepción de correo con AGI.
2. Búsqueda en SIRCAI.
3. Ubicación en estantería.
4. Respuesta de consulta.
5. Configuración de escáner
6. Digitalización de la documentación 
7. Registro de formatos manualmente.
8. Registro en SIRCAI para trazabilidad del préstamo.
9. Reporte a Buzón de los prestamos pendientes.
</t>
  </si>
  <si>
    <t>Consulta AGI Imagen</t>
  </si>
  <si>
    <t xml:space="preserve">Encargado de Buzón: 
1. Recepción de consulta por correo
2. Validación de firmas autorizadas
3. Validación información del formato SAF 
4. Búsqueda de información en base SIRCAI
5. Validar y actualizar información de la solicitud
6. Asignación de AGI, diligenciando control con 8 datos y copiar por correo electrónico, a la bodega donde se encuentra la información.
Encargado de Bodega:
1. Recepción de correo con AGI.
2. Búsqueda en SIRCAI.
3. Ubicación en estantería.
4. Respuesta de consulta.
5. Empaque, de ser consulta física.
6. Diligenciamiento de formatos manualmente.
7. Registro en SIRCAI para trazabilidad del préstamo.
8. Reporte a Buzón de los prestamos pendientes.
</t>
  </si>
  <si>
    <t xml:space="preserve">Encargado de Buzón: 
1. Recepción de consulta por correo
2. Validación de firmas autorizadas
3. Validación información del formato SAF 
4. Búsqueda de información en base SIRCAI
5. Validar y actualizar información de la solicitud
6. Asignación de AGI, diligenciando control con 8 datos y copiar por correo electrónico, a la bodega donde se encuentra la información.
Encargado de Bodega:
1. Recepción de correo con AGI.
2. Búsqueda en SIRCAI.
3. Notificación al encargado de Buzón que la documentación corresponde a otra bodega.
4. Encargado de Buzón amplía la búsqueda para identificar donde corresponden la documentación.
</t>
  </si>
  <si>
    <t>Consulta AGI Remitido</t>
  </si>
  <si>
    <t>Unidad documental</t>
  </si>
  <si>
    <t xml:space="preserve">Encargado de Buzón: 
1. Recepción de consulta por correo
2. Validación de firmas autorizadas
3. Validación información del formato SAF 
4. Búsqueda de información en base SIRCAI
5. Validar y actualizar información de la solicitud
6. Asignación de AGI, diligenciando control con 8 datos y copiar por correo electrónico, a la bodega donde se encuentra la información.
Encargado de Bodega:
1. Recepción de correo con AGI.
2. Búsqueda en SIRCAI.
3. identificar fecha de inicio y final del crédito.
4. Realizar la búsqueda en los libros de contabilidad los cuales se encuentran en la sede cid.
5.  Realizar la búsqueda en los libros de contabilidad por el número de crédito una vez ubicado se registra la fecha del pago y el valor pagado así sucesivamente hasta llegar la última fecha de cierre del crédito.  Para el caso de fechas que no realizo el pago se registra en el formato 0 pesos.
6. Enviar realización de pagos realizados por el usuario.
</t>
  </si>
  <si>
    <t>Consulta Reconstrucción Crédito CORPAVI</t>
  </si>
  <si>
    <t xml:space="preserve">Encargado de Buzón: 
1. Recepción de consulta por correo
2. Validación de firmas autorizadas
3. Validación información del formato SAF 
4. Búsqueda de información en base SIRCAI
5. Validar y actualizar información de la solicitud
6. Asignación de AGI, diligenciando control con 8 datos y copiar por correo electrónico, a la bodega donde se encuentra la información.
Encargado de Bodega:
1. Recepción de correo con AGI.
2. Búsqueda en SIRCAI.
3. identificar los años solicitados de los pagos de sus aportes 
4. Ubicar físicamente los años y realizar la búsqueda por Nombre y número de identificación.
5. Diligenciamiento de formato de la cantidad de planillas enviadas.
</t>
  </si>
  <si>
    <t>Consultas Planillas ISS (Instituto Seguro Social)</t>
  </si>
  <si>
    <t xml:space="preserve">Encargado de Bodega:
1. Traslado de cajas para procesar.
2. Validación de inventario contra físico. Total, de campos en formato de inventario: 17
3. Validación de series y sub series de acuerdo a la tabla retención 
4. Pruebas aleatorias.
5. Colocar código de caja y actualizar en el inventario.
6. Ubicación topográfica en estantería.
7. Diligenciamiento de formatos de control. (reporte de verificación, Anexo 3, Ubicación topográfica, anexo 32, estadísticas diarias).
8. Control de calidad.
Encargado de Buzón:
1. Recibir de parte de la bodega, el reporte de verificación el cual es enviado al usuario que confirmo su envió.
</t>
  </si>
  <si>
    <t>Unidad Documental</t>
  </si>
  <si>
    <t>Recepción (Red Oficinas)</t>
  </si>
  <si>
    <t>Recepción (Dependencias)</t>
  </si>
  <si>
    <t xml:space="preserve">1. Control de calidad a los registros.
2. Colocar registros recibidos físicamente en el formato para cargue en el sistema.
3. Validación de tipo de letra (calibri 8), mayúscula sostenida, campo fecha en formato fecha, resto de columnas en formato texto. 
4. Ubicación topográfica en el FUID.
5. Cargue en SIRCAI.
6. Diligenciamiento de formatos de control. (reporte de verificación, Anexo 3, Ubicación topográfica, anexo 32, estadísticas diarias).
7. Control de calidad.
</t>
  </si>
  <si>
    <t>Automatización</t>
  </si>
  <si>
    <t>Organización (Apoyo Áreas)</t>
  </si>
  <si>
    <t>1. Validación de inventario contra físico. Total, de campos en formato de inventario: 17 realizar ajustes si se presentan.
2. Validación de series y sub series de acuerdo a la tabla retención
3. Verificación de armado de cajas y rótulos de contenido de acuerdo al manual de transferencia.  Realizar ajustes si se presentan.
4. Diligenciamiento de formatos de control. (reporte de verificación, Anexo 3, Ubicación topográfica, anexo 32, estadísticas diarias).</t>
  </si>
  <si>
    <t>Correo.</t>
  </si>
  <si>
    <t>Correo General</t>
  </si>
  <si>
    <t xml:space="preserve">1. Verificar el correo recibido
2. Elaborar respuesta de acuerdo a la solicitud 
3. Adjuntar soportes de sustentación y/o archivos solicitados por remitente. </t>
  </si>
  <si>
    <t xml:space="preserve">1. Recepción de consulta por correo
2. Validación de firmas autorizadas
3. Validación información del formato SAF 
4. Búsqueda de información en base SIRCAI
5. Validar y actualizar información de la solicitud
6. Asignación de AGI, diligenciando control con 8 datos y copiar por correo electrónico, a la bodega donde se encuentra la información.
</t>
  </si>
  <si>
    <t>Correo Asignación AGI</t>
  </si>
  <si>
    <t xml:space="preserve">1. Verificar si la documentación enviada por el encargado de bodega corresponde a lo solicitado por el cliente.
2. Elaboración de la respuesta adjuntando las imágenes solicitadas, para el caso de consultas física se confirma con el encargado de bodega la fecha en que se envió la documentación, la cual es registrada en la respuesta.
3. Verificación de la repuesta remitida por la bodega formato Respuesta de Requerimientos Archivo Inactivo y se adjunta al correo.
</t>
  </si>
  <si>
    <t>Correo Respuesta AGI</t>
  </si>
  <si>
    <t>1. Verificar los documentos devueltos contra base de préstamos.
2. Registrar en base de prestamos la devolución del documento.
3. Verificar en base SIRCAI la ubicación topográfica del documento. 
4. Ubicar documento en estantería.
5. Registrar en estadística la cantidad de documentos involucrados.</t>
  </si>
  <si>
    <t>Devoluciones e Involucrar</t>
  </si>
  <si>
    <t>Unidad Archivística - Unidad Documental</t>
  </si>
  <si>
    <t xml:space="preserve">1. Verificar relación de devolución vs los documentos físicos.
2. Verificar cada documento a que bodega pertenece por medio de la base de préstamos.
3. Clasificar los documentos por bodega.
4. Actualizar base de préstamos. 
5. Empacar documentos por bodega para ser enviada por correspondencia.
</t>
  </si>
  <si>
    <t>Archivos devueltos para remitir a Bodegas.</t>
  </si>
  <si>
    <t xml:space="preserve">1. Recibir transferencia de proveedor de correspondencia. 
2. Organización cajas.
3. Ubicación de cajas.
4. Diligenciamiento de formatos.
5. Actualización de cronograma de transferencia por requerimiento de usuarios.
6. Asignación de trabajo.
7. Confirmación al área del recibido de transferencia.
</t>
  </si>
  <si>
    <t>Organizar Transferencia para Recepcionar.</t>
  </si>
  <si>
    <t>Eliminación Masiva.</t>
  </si>
  <si>
    <t xml:space="preserve">1. Inicia con la aplicación de las políticas establecidas por el cliente a los archivos que reposan en las 4 bodegas (Cid, Ferias, Tunjuelito, Siberia).
2. Se realiza una proyección de la cantidad de cajas a eliminar por TVD y Masiva, años a destruir y tiempo de culminación para cada una de las mismas.
3. Sacar cantidades por bodega 
4. Ubicarse en el módulo marcar con X la caja que se va completa
5. Relacionar la cantidad de cajas eliminadas
6. Registrar en las estadísticas las cantidades realizadas
</t>
  </si>
  <si>
    <t>Mantenimiento</t>
  </si>
  <si>
    <t>1. Identificar la cantidad de cajas eliminar
2. Solicitar insumos de acuerdo a la cantidad identificada
3. Desmonte 
4. Cambio de caja y rotulo
5. Monte de cajas
6. Reportar en estadísticas la cantidad procesada.</t>
  </si>
  <si>
    <t xml:space="preserve">Custodia </t>
  </si>
  <si>
    <t xml:space="preserve">1. Recibir consulta por correo electrónico.
2. Identificar que cliente está realizando la solicitud
3. Realizar la búsqueda en la base de datos de acuerdo a la información suministrada.
4. Anotar la ubicación topográfica del documento
5. Desmonte de cajas
6. Extraer el documento
7. Digitalizar las imágenes 
8. Elaboración de respuesta adjuntando las imágenes
9. Ubicar el documento en la estantería.
10. Montar Cajas
</t>
  </si>
  <si>
    <t>Consultas Custodia - (Imagen) Hasta 5 Unidades Documentales</t>
  </si>
  <si>
    <t>Imgen.</t>
  </si>
  <si>
    <t>Consultas Custodia UA (física)</t>
  </si>
  <si>
    <t>1. Recibir consulta por correo electrónico.
2. Identificar que cliente está realizando la solicitud
3. Realizar la búsqueda en la base de datos de acuerdo a la información suministrada.
4. Anotar la ubicación topográfica del documento
5. Desmonte de cajas
6. Extraer el documento
7. Montar Cajas
8. Elaboración de respuesta
9. Marcar el documento a enviar 
10. Planillar en correspondencia para el envió del documento. 
11. Entrega de documentos.</t>
  </si>
  <si>
    <t>1. Planillar por correspondencia la recogida de los documentos
2. Clasificar por cliente la documentación
3. Para caso de préstamos de Cajas se debe verificar que todas las unidades archivísticas estén completas
4. Sacar ubicación topográfica a cada documento
5. Desmonte de cajas
6. Monte de cajas
7. Registrar la cantidad de documentación involucrada.</t>
  </si>
  <si>
    <t>Unidad Archivistica.</t>
  </si>
  <si>
    <t>1. Planillar por correspondencia recoger la documentación.
2. Verificación de inventario
3. Punteo de inventario vs físico
4. Registrar la cantidad realizada.</t>
  </si>
  <si>
    <t>Recepción</t>
  </si>
  <si>
    <t>Recepción Cambio De Unidad Y Caja</t>
  </si>
  <si>
    <t>1. Planillar por correspondencia recoger la documentación.
2. Organización de la documentación
3. Elaboración de inventario
4. Cambio de AZ a tapa yute 
5. Ubicación la carpeta correspondiente.</t>
  </si>
  <si>
    <t>1. Verificación de inventario vs físico
2. Pagado de sr de carpeta y caja 
3. Ajustar campos a plantilla de Sircai</t>
  </si>
  <si>
    <t>Recepción y Automatización</t>
  </si>
  <si>
    <t>1. Clasificación por cliente
2. Clasificación por serie
3. Elaboración de inventario
4. Colocar información en caja</t>
  </si>
  <si>
    <t>Organización</t>
  </si>
  <si>
    <t>Organización H.L.</t>
  </si>
  <si>
    <t>1. Organización de las historias laborales cronológicamente.
2. Organización de las unidades documentales de la historia laboral.
3. Registrar en el Check List las documentales  que se encuentra en la historia laboral
4. Registrar en el reporte organización historias laborales
5. Ubicar en la caja correspondiente.</t>
  </si>
  <si>
    <t xml:space="preserve">1. Verificación de inventario el cual debe tener unas características iguales a las de la Tabla Principal de la Base
2. Copiar y pegar los registros del inventario Anexo 004 Solicitud y Respuesta de requerimientos_V6 y Anexo 007 Formato TRANSFER.
3. Después de copiar todos los registros en la plantilla e ingresar los datos restantes ubicación topográfica, clic sobre el icono de acceso directo a la base de datos SIRCAI
4. Realizar control de calidad que los registros no se encuentren duplicados, que la cantidad de inventario vs la base concuerde. </t>
  </si>
  <si>
    <t>Automatización Check List</t>
  </si>
  <si>
    <t>1. Pagado de sr de carpeta y caja
2. Verificación de Check List el cual debe tener unas características iguales a las de la Tabla Principal de la Base.
3. Copiar y pegar los registros del inventario Anexo 004 Solicitud y Respuesta de requerimientos_V6 y Anexo 007 Formato TRANSFER.</t>
  </si>
  <si>
    <t>1. Clasificar por ciudades 
2. Desprender las tapas de los libros 
3. Quitar colbon de la documentación.
4. Reparar el documento 
5. Clasificar por series
6. Clasificar cronológicamente.</t>
  </si>
  <si>
    <t>Preparación Física Microfilmación.</t>
  </si>
  <si>
    <t>Unidad Documental.</t>
  </si>
  <si>
    <t>Preparación física Hl</t>
  </si>
  <si>
    <t xml:space="preserve">1. Clasificar por Organismo (empresa)
2. Organización por fecha
3. Organizar por consecutivo de factura 
4. Búsqueda de ubicación topográfica de la unidad de conservación donde pertenece la factura.
5. Inserción de factura  
6. Reporte de la estadística.
</t>
  </si>
  <si>
    <t>Inserción Facturas</t>
  </si>
  <si>
    <t>1. Clasificar por Cliente 
2. Búsqueda de ubicación topográfica de la unidad de conservación donde pertenece unidad documental.
3. Desmonte de cajas
4. Inserción del documento 
5. Monte de Cajas 
6. Reporte de la estadística.</t>
  </si>
  <si>
    <t>Inserción documentos</t>
  </si>
  <si>
    <t>1. Clasificación de las historias laborales por Organismo. 
2. Clasificar las unidades documentales de la historia laboral de acuerdo a la estructura contratada.
3. Preparación física a las unidades documentales quitar ganchos de cosedora y separar por secciones.</t>
  </si>
  <si>
    <t>Digitalización HL</t>
  </si>
  <si>
    <t>Digitalización Simple</t>
  </si>
  <si>
    <t>1. Configuración de escanear
2. Digitalizar por sesiones de la historia laboral.
3. Subir a la nube las imágenes en la historia laboral electrónica.</t>
  </si>
  <si>
    <t>1. Ubicar los documentos a digitalizar.
2. Quitar ganchos de cosedora
3. Configuración de escáner 
4. Digitalizacion de imágenes y ubicar en la ruta indicada</t>
  </si>
  <si>
    <t>1. Se realiza la búsqueda del documento por consecutivo
2. inserta el documento de acuerdo a la fecha la cual debe coincidir con la fecha de la carpeta.
3. Toma de registros insertados ( este paso se realiza y lo dejan plasmados en el campo de observciones.
4. Realizar actualización en la base general de historias laborales.</t>
  </si>
  <si>
    <t xml:space="preserve">1. Ubicar las historias laborales para iniciar el proceso de foliación.
2. Foliar la documentación en la parte superior derecha en lápiz así sucesivamente hasta foliar toda la historia laboral.
3. Indicar en el Check List la cantidad de folios que tiene la historia laboral. 
</t>
  </si>
  <si>
    <t>Foliación H.L</t>
  </si>
  <si>
    <t xml:space="preserve">1. Verificar que el contador de la cámara se encuentre en ceros.
2. Oprimir la tecla SPACE para dar espacio de seguridad de enhebrado del Rollo. (en el display debe aparecer la letra A- y el numero 25 este número seguirá avanzando solo 
3.  microfilmar la primera parte del rollo, es decir, el LADO A, procede a microfilmar la documentación normativa en el siguiente orden:
• Microfilmar Hoja en blanco.
• Microfilmar la tarjeta técnica de resolución para efectos de control de calidad.
• Después de pasar esta documentación mantener sostenido el botón SPACE hasta que aparezca en el display la letra A- y el numero 25 este número seguirá avanzando solo hasta el número 150, realizar dos veces este mismo procedimiento hasta que se encienda la luz en el indicador de Film. (indica que se terminó la película, el rollo).
4. verifica que el contador de la cámara se encuentre en ceros. Después de seguir el paso a paso del instructivo iniciar con la microfilmación de la documentación normativa:
5. Microfilmar Hoja en blanco
6. Microfilmar la tarjeta técnica de resolución para efectos de control de calidad.
7. Microfilmar Tarjeta de LADO B del Rollo.
8. Rollo que se encuentra en la parte izquierda de la cámara el cual contiene lo microfilmado, introducir en su caja, marcar con N° de Rollo, Total de Fotogramas por cada LADO en la parte superior de la caja, en la parte frontal se debe dejar una descripción del contenido muy general e indicar fecha de inicio y terminación del rollo.
9. marca las cajas trabajadas con el sello de Microfilmado y las ubica en la estantería para proceso de Grapado y/o eliminación.
</t>
  </si>
  <si>
    <t>Microfilmación</t>
  </si>
  <si>
    <t>Fotograma.</t>
  </si>
  <si>
    <t xml:space="preserve">1. Identificar la cantidad de cajas eliminar
2. Solicitar insumos de acuerdo a la cantidad identificada
3. Desmonte 
4. Cambio de caja.
5. Elaboración de rótulos de contenido
6. Verificar si se pueden unificar unidades archivísticas con otra caja.
7. Monte de cajas
8. Reportar en estadísticas la cantidad procesada.
</t>
  </si>
  <si>
    <t>Legrand</t>
  </si>
  <si>
    <t>Entrega de correspondencia.</t>
  </si>
  <si>
    <t>Documento.</t>
  </si>
  <si>
    <t xml:space="preserve">1. Trasladarse a las porterías 1 y 2 para recoger documentos, sobre y paquetes.
2. Clasificar por áreas
3. Registrar uno a uno lo recibido en el formato interno.
4. Ingresar en el aplicativo si Legrand y dar finalización a la solicitud.
5. Realizar recorrido a las áreas.
6. Entregar la documentación al encargado de área. </t>
  </si>
  <si>
    <t>1. Configurar el escanear de acuerdo al requerimiento del cliente. 
2. Quitar ganchos de cosedora
3. Sacar la copia con cantidad y tamaño deseados por el cliente.
4. Entregar la copia junto con el original al usuario, de ser necesario grapa la documentación.
5. Registrar en el formato interno la cantidad de copias.</t>
  </si>
  <si>
    <t>Servicio de fotocopias.</t>
  </si>
  <si>
    <t>Digitalización (Escaneo)</t>
  </si>
  <si>
    <t>1. Verificar en el aplicativo si Legrand la información solicitada.
2. Realizar la búsqueda en la base de datos para obtener la ubicación topográfica de la documentación.
3. Extraer el documento
4. Para el caso de consulta digitales se digitaliza la información y se carga las imágenes en el aplicativo si Legrand.
5. Registrar en el formato interno la documentación a prestar (física y digital)
6. Entregar el documento físico al encargado del documento
7. Ingresar al aplicativo ingresar a la solicitud y responder que el documento fue entregado.</t>
  </si>
  <si>
    <t>1. Configurar el escanear de acuerdo al requerimiento del cliente. 
2. Quitar ganchos de cosedora
3. Realizar la digitalización de la documentación. 
4. Enviar las imágenes por correo electrónico.
5. Entregar el original al usuario, de ser necesario grapa la documentación.
6. Registrar en el formato interno la cantidad del escaneo de imágenes.</t>
  </si>
  <si>
    <t>Consulta Archivo Central</t>
  </si>
  <si>
    <t xml:space="preserve">Consulta Archivo Inactivo </t>
  </si>
  <si>
    <t xml:space="preserve">
1. Verificar en el aplicativo si Legrand la información solicitada.
2. Realizar la solicitud por correo electrónico ala arachivo inactivo
3. Realizar la búsqueda en base de datos.
4. Extraer la documentación.
5. Planillar en correspondencia
6. Recibir el documento
7. Entregar documento
8. Ingresar al aplicativo ingresar a la solicitud y responder que el documento fue entregado.
</t>
  </si>
  <si>
    <t xml:space="preserve">1. Verificar si el documento pertenece al archivo central o inactivo
2.  Realizar la búsqueda en la base de préstamos y registrar que el documento retorno.
3. Sacar ubicación topográfica para involucrar el documento.
4. Involucrar el documento.
5. Ingresar al aplicativo ingresar a la solicitud y responder que el documento fue entregado.
6. Si el documento pertenece al archivo inactivo realizar la solicitud de recogida del documento.
7. El encargado de la bodega verifica en la base de préstamos si el documento pertenece al archivo inactivo
8. Registrar en la base de préstamos que el documento retorno.
9. Involucrar documento
10. Informar al encargado del archivo central que el documento ya se encuentra involucrado.
</t>
  </si>
  <si>
    <t xml:space="preserve">1. Recibir los folios generados en el mes 
2. Organizar los folios por número de consecutivo
3. Involucrar los folios por número de consecutivo 
4. Rotular la caja indicando los números de folios que se encuentran en la misma.
5. Actualizar ubicación topográfica. </t>
  </si>
  <si>
    <t>Recolección E Involucrar Folios (Rotulación De Cajas X-200)</t>
  </si>
  <si>
    <t>Folio.</t>
  </si>
  <si>
    <t xml:space="preserve">1. Realizar la solicitud de transferencia de la documentación al Archivo central y/o a la bodega de custodia por medio del Gestor Flujo de trabajo.
2. Extraer la documentación de acuerdo al formato de inventario
3. Entregarla documentación al transportador 
4. Recibir la documentación 
5. Verificar la documentación vs el inventario de unidades archivísticas.
6. Ubicar las cajas en el archivo.
Actualizar ubicación topográfica y cargar información en base de datos.
</t>
  </si>
  <si>
    <t>Transferencia.</t>
  </si>
  <si>
    <t>Eliminación</t>
  </si>
  <si>
    <t xml:space="preserve">Eliminación archivo central
1. El encargado de archivo central recibe por parte del área el inventario de unidades a eliminar.
2. El encargado del archivo central verifica la documentación.
3. El encargado del archivo central elabora acta de eliminación para ser firmada 
4. Una vez firmada procede con la extracción de la documentación.
5. El encargado del archivo Central procede con el picado de la documentación el cual tiene que quitar ganchos y carton.
6. Entrega el picado al área correspondiente.
7. Actualiza base de datos y ubicación topográfica. 
Eliminación inactivo.
1. Recibir inventario por parte del encargado del archivo central.
2. Realiza la extracción de documentación.
3. Solicitar la recogida de la documentación por la empresa de reciclaje 
4. Recibir acta de destrucción de la documentación. 
5. Enviar acta de destrucción de la documentación al encargado del archivo central.
</t>
  </si>
  <si>
    <t xml:space="preserve">1. El encargado del archivo central ordena la documentación de acuerdo a la solicitud del área (organización por consecutivo, cronológico, alfabético y numérico)
2. El encardo procede con la organización de la documentación y lleva el registro de unidades organizadas.
3. Informa al área que la documentación fue organizada de acuerdo a su solicitud 
4. Encargado del archivo central registra en sus estadísticas las unidades organizadas.
</t>
  </si>
  <si>
    <t>1. El encargado de bodega recibe por parte del área de recursos humanos la documentación de las historias laborales activas e inactivas.
2. Clasifica la documentación por funcionario.
3. Clasifica la historia laboral por activa e inactiva 
4. Registrar en la base de datos la cantidad de documentos recibidos por funcionario.
5. Ingresar la documentación de cada historia laboral en las AZ historias laborales inactivas y insertar la documentacion a cada historia laboral actaiva.</t>
  </si>
  <si>
    <t xml:space="preserve">1. El cargado del archivo central recibe por parte del área de recursos Humanos. Documentación de historias laborales y formatos de dotación.
2. Para la inserción de historias laborales organiza la documentación por funcionario e inserta la documentación a cada historia laboral.
3. Para los formatos de dotación se verifica que cada formato deba estar debidamente diligenciado por los funcionarios de Legrand,
4. Se clasifican los formatos por áreas de acuerdo a la base entregada por el área de recursos humanos.
5. Se insertan los formatos en las az de cada área y en la pestaña de cada funcionario para llevar el control de dotación entregada.
</t>
  </si>
  <si>
    <t>1. Recibir la documentación
2. Validar la información
3. Clasificar 
4. Organizar
5. Archivar la documentación en la nueva carpeta o bolsa física y rotular
6. Relacionar en el inventario o base
7. Se ubica en la estantería</t>
  </si>
  <si>
    <t xml:space="preserve">1. Recibir la documentación por parte del área 
2. Validar la información
3. Clasificar la información de acuerdo a la necesidad del área
4. Organizar la información de acuerdo a la necesidad del área
5. Archivar la documentación en una nueva carpeta.
6. Rotular la carpeta.
7. Relacionar en la base de datos si el documento va ser remitido al archivo central de lo contrario entregar las nuevas carpetas al area. </t>
  </si>
  <si>
    <t>Creación UA</t>
  </si>
  <si>
    <t>Digitalización</t>
  </si>
  <si>
    <t xml:space="preserve">Nova Tecnica </t>
  </si>
  <si>
    <t>Renombrar Documentos</t>
  </si>
  <si>
    <t>1. Se crea sub carpetas por el documento digitalizado.
2. Para renombrar los documentos se deberá abrir el archivo llamado Nomenclatura el cual es suministrado por el centro médico.
3. Se registran en el formato de nomenclatura la siguiente información: Equipo, marca, modelo, serial, placa de inventario, tipo de mantenimiento. 
4. Registrar en la nomenclatura a cada equipo médico si tiene toda la documentación a digitalizar: 
• Ficha técnica (Hoja de vida)
• Control de mantenimientos
• Actas de entrega  
• Protocolos de limpieza 
• Certificados de Calibración, validación, verificación (vigentes)
• Registros de Invima vigentes 
• Mantenimientos preventivos, correctivos y mantenimientos de diagnóstico e instalación. se digitalizan los documentos a partir 1 de agosto 2022 hasta el cierre de los mantenimientos.)
• Documentos de garantías vigentes (garantías de los equipos y repuestos)
• Declaración de importación
• Cronograma de mantenimiento proveedor
• Recepción técnica.
5. Nombrar  cada imagen de acuerdo a la nomenclatura.</t>
  </si>
  <si>
    <t xml:space="preserve">1. Configuración de escanear
2. Crear carpetas electrónicas por equipos médicos  
3. Empezar la Digitalizacion por orden de AZ de acuerdo a los lineamientos de cada centro médico.
4. Quitar ganchos de la documentación del equipo medico 
5. Se digitaliza los siguientes documentos por cada equipo medico:
• Ficha técnica (Hoja de vida)
• Control de mantenimientos
• Actas de entrega  
• Protocolos de limpieza 
• Certificados de Calibración, validación, verificación (vigentes)
• Registros de INVIMA vigentes 
• Mantenimientos preventivos, correctivos y mantenimientos de diagnóstico e instalación. se digitalizan los documentos a partir 1 de agosto 2022 hasta el cierre de los mantenimientos.)
• Documentos de garantías vigentes (garantías de los equipos y repuestos)
• Declaración de importación
• Cronograma de mantenimiento proveedor
• Recepción técnica.
6. Grapar la documentación. 
7. Insertar nuevamente la documentación en la AZ y realizar el mismo proceso sucesivamente hasta culminar la
</t>
  </si>
  <si>
    <t>Clasificación.</t>
  </si>
  <si>
    <t>Veterinaria</t>
  </si>
  <si>
    <t>Creación Documental</t>
  </si>
  <si>
    <t>Consultas.</t>
  </si>
  <si>
    <t xml:space="preserve">Clasificación área de facturación 
1. Se recibe las facturas emitidas por el área de facturación 
2. Se puntea factura vs relación entregada por el área 
3. Se clasifica por años
4. Se clasifica por mes,
5. Se ubican en el archivo central. 
Clasificación área de contabilidad 
1. Se recibe la documentación por el área de contabilidad
2. Se puntea documentación vs relación entregada por el área
3. Se clasifica por serie documental.  
4. Se ubica la documentación en el archivo central.
</t>
  </si>
  <si>
    <t xml:space="preserve">1. Ubica el paquete clasificado del área de facturación 
2. Organiza por consecutivo de factura.
3. Para consecutivos de facturas que no se encuentren se solicitan al área de facturación para que le suministren la copia para ser agregados al consecutivo del mes.
</t>
  </si>
  <si>
    <t>1. Recibir por parte de del área de facturación facturas para insertar 
2. Clasificar por año
3. Realizar búsqueda en el archivo central la carpeta donde pertenece la factura para su respectiva inserción
4. Cuando las facturas pertenecen a los años 2019-2020 se debe se realizará el envió al archivo inactivo para su respectiva inserción.</t>
  </si>
  <si>
    <t xml:space="preserve">1. Recibir solicitud por el correo electrónico
2. Realizar la búsqueda en la base de datos para obtener la ubicación topográfica de la documentación.
3. Extraer el documento
4. Registrar en el formato interno la documentación a prestar
5.  Entregar el documento físico al encargado del documento.
6. Enviar por correo la respuesta de que la documentación fue entregada.
</t>
  </si>
  <si>
    <t xml:space="preserve">1. Elaboración de inventario
2. Empaque de unidades archivísticas en cajas
3. Elaboración de rótulos de contenido.
4. Envió de inventario al archivo inactivo.
5. Solicitud de recogida de las cajas para ser trasladadas al archivo indicativo
</t>
  </si>
  <si>
    <t>1. Desenganche de facturas  
2. Desdoblar facturas. 
3. Registra la cantidad de documentos preparados.</t>
  </si>
  <si>
    <t>1. Recibir en ventanilla de correspondencia
2. Recibir paquetes en ventanilla de correspondencia
3. Realizar punteo contra planilla en físico</t>
  </si>
  <si>
    <t>1. Realizar punteo, asignar consecutivo de control, trasladar libros a ubicación temporal
2. Recibir de mensajería externa (sobres, paquetes o cajas)</t>
  </si>
  <si>
    <t>1. Recepción para radicar</t>
  </si>
  <si>
    <t>1. Conteo folios, registro de folios en expediente físico (pegar folios sueltos)
2. Conteo folios, registro de folios en expediente físico</t>
  </si>
  <si>
    <t>1. Quitar ganchos, doblar folios, grapar, contar folios, registrar folios</t>
  </si>
  <si>
    <t>1. Alistar Sobres pqr Verbales Recibidos De Centros De atención Para Traslado.</t>
  </si>
  <si>
    <t>1. Nombrar archivo, revisar imágenes, colocar Sello</t>
  </si>
  <si>
    <t>1. Escanear documentos para cargue gestor</t>
  </si>
  <si>
    <t>1. Numero tomo y caja por expediente-realizar transferencia tomos creados.</t>
  </si>
  <si>
    <t>1. Registrar en planilla reporte y en cuadro 1</t>
  </si>
  <si>
    <t>1. registrar cuenta contrato y folios.
2. numero tomo y caja por expediente-realizar transferencia tomos creados.
3. indexación en el gestor.</t>
  </si>
  <si>
    <t>1. Consultar planilla de radicación, registrar a mano ticket en el físico.</t>
  </si>
  <si>
    <t>1. Pasar correos recibidos de los centros de atención al cuadro 1.</t>
  </si>
  <si>
    <t>1. Pasar datos de la planilla recibida por correo al cuadro control devoluciones del mes.
2. Pasar datos planilla del área a los archivos control del servicio.
3. Pasar datos formato de transferencia-inventario.</t>
  </si>
  <si>
    <t xml:space="preserve">Vanti Gas Oriente </t>
  </si>
  <si>
    <t>1. Clasificar en cuadro 1 por tipología, ordenar por ticket según trd y tipología, migrar registros a inventario prm del mes.</t>
  </si>
  <si>
    <t>1. Clasificación por tipología, correos hallazgos-correo porte folios validación.</t>
  </si>
  <si>
    <t>1. Revisar hallazgos por consulta en bases de datos.
2. Validar por registro contra físico, realizar ajustes-reportar hallazgos.</t>
  </si>
  <si>
    <t>1. Validar por registro contra físico, realizar ajustes-reportar hallazgos.</t>
  </si>
  <si>
    <t>1. Ticket para incluir y/o registrar en inventario acumulado o del mes.</t>
  </si>
  <si>
    <t>1. Ordenar por ticket dentro de la tipología.</t>
  </si>
  <si>
    <t>1. Clasificación de escritos, cartas o paquetes para funcionarios.</t>
  </si>
  <si>
    <t>1. Crear unidad archivística.</t>
  </si>
  <si>
    <t>1. Marcar tomo, armar caja, marcar caja, ubicar.
2. Escáner planillas, impresión, marcar tomo, armar caja, marcar caja, ubicar.</t>
  </si>
  <si>
    <t>1. Almacenar expedientes en tomo en avance, escáner planillas, impresión planilla, marcar tomo.
2. Almacenar expedientes en tomo en avance, marcar tomo.</t>
  </si>
  <si>
    <t>1. Intercalar por ticket en tomos en avance según trd.</t>
  </si>
  <si>
    <t>1. Almacenar expedientes en tomo en avance, marcar tomo.</t>
  </si>
  <si>
    <t>1. Archivar por trd folios recibidos radicación por correspondencia.</t>
  </si>
  <si>
    <t>1. Realizar foliados documentos archivados.</t>
  </si>
  <si>
    <t>1. Quitar ganchos, actualizar número de folios total.</t>
  </si>
  <si>
    <t>1. Generar radicado.</t>
  </si>
  <si>
    <t>1. Validar datos sociedad y tipología.
2. Asignar número de radicado, enviar correo con radicado.
3. Registrar en cuadro control consultas y consolidado consultas.
4. Registrar prestamos en control afuera.
5. Enviar respuesta al Area solicitante.
6. Actualizar datos en cuadros de control servicio archivar expedientes intervenidos.</t>
  </si>
  <si>
    <t>1. Validar datos sociedad y tipología.
2. Asignar número de radicado, enviar correo con radicado.
3. Nombrar archivo, revisar imágenes.
4. Registrar en cuadro control consultas y consolidado consultas.
5. Registrar prestamos en control afuera.
6. Enviar respuesta al Area solicitante.
7. Actualizar datos en cuadros de control servicio archivar expedientes intervenidos.</t>
  </si>
  <si>
    <t>1. Registrar en control folios, abrir sobre verificar contenido.
2. Registrar en control folios.</t>
  </si>
  <si>
    <t>1. Diligenciar formato control procesos de gestión documental.</t>
  </si>
  <si>
    <t>Registro</t>
  </si>
  <si>
    <t>Tomo - unidad documental – registro.</t>
  </si>
  <si>
    <t>Expediente.</t>
  </si>
  <si>
    <t>Expediente – Paquete.</t>
  </si>
  <si>
    <t>Paquete.</t>
  </si>
  <si>
    <t>Tomo.</t>
  </si>
  <si>
    <t>Imágenes.</t>
  </si>
  <si>
    <t xml:space="preserve">Punteo (Servicio Pqr - Servicio Back Office) </t>
  </si>
  <si>
    <t>Punteo (Servicio Operación Cada - Servicio Ventanilla)</t>
  </si>
  <si>
    <t>Punteo (Servicio Ventanilla Correspondencia)</t>
  </si>
  <si>
    <t>Alistamiento (servicio pqr )</t>
  </si>
  <si>
    <t>Alistamiento (Servicio Back Office -  Servicio Operación Cada - Servicio Pqr )</t>
  </si>
  <si>
    <t>Alistamiento (Ventanilla Correspondencia)</t>
  </si>
  <si>
    <t>Digitalización simple (servicio pqr)</t>
  </si>
  <si>
    <t>Digitalización simple (servicio ventanilla)</t>
  </si>
  <si>
    <t>Registro en base de datos (servicio pqr -  servicio operación cada)</t>
  </si>
  <si>
    <t>Registro en base de datos (servicio pqr)</t>
  </si>
  <si>
    <t>Registro en base de datos (Servicio Pqr - Servicio Back Office - Servicio Ventanilla)</t>
  </si>
  <si>
    <t>Transcribir datos (Servicio Pqr - Escritos Recibidos Por Ventanilla).</t>
  </si>
  <si>
    <t xml:space="preserve">Transcribir datos (Servicio Pqr - Escritos Recibidos De Los Centros De Atención) </t>
  </si>
  <si>
    <t xml:space="preserve">Transcribir datos (Servicio Pqr - Servicio Back Office - Servicio Operación Cada) </t>
  </si>
  <si>
    <t>Transcribir datos (Servicio Pqr Inventario Por Ud Prm-Pqr)</t>
  </si>
  <si>
    <t>Validación (Servicio Pqr Escritos Recibidos De Los Centros De Atención)</t>
  </si>
  <si>
    <t>Validación (Servicio Pqr - Servicio Back Office - Servicio Operación Cada)</t>
  </si>
  <si>
    <t>Validación (Servicio Operación Cada)</t>
  </si>
  <si>
    <t>Ordenar y clasificar (devoluciones)</t>
  </si>
  <si>
    <t>Ordenar y clasificar (Inventario Por Ud Prm-Pqr)</t>
  </si>
  <si>
    <t>Ordenar y clasificar (servicio ventanilla)</t>
  </si>
  <si>
    <t>Creación unidad archivística (servicio ventanilla)</t>
  </si>
  <si>
    <t>Creación unidad archivística (Servicio Back Office - Servicio Pqr - Servicio Operación Cada)</t>
  </si>
  <si>
    <t>Inserción (servicio back office)</t>
  </si>
  <si>
    <t>Inserción (servicio pqr)</t>
  </si>
  <si>
    <t>Inserción (servicio operación cada)</t>
  </si>
  <si>
    <t>Inserción (servicio ventanilla)</t>
  </si>
  <si>
    <t>Foliación (servicio ventanilla)</t>
  </si>
  <si>
    <t>Unificación (servicio pqr)</t>
  </si>
  <si>
    <t>Radicar correspondencia entrada.</t>
  </si>
  <si>
    <t>Radicar correspondencia salida.</t>
  </si>
  <si>
    <t>Consulta física</t>
  </si>
  <si>
    <t>Consulta digital.</t>
  </si>
  <si>
    <t>Consulta histórica.</t>
  </si>
  <si>
    <t>Registrar en cuadro control folios - servicio pqr.</t>
  </si>
  <si>
    <t>Registrar en cuadro control transferencias.</t>
  </si>
  <si>
    <t>Recepción de material</t>
  </si>
  <si>
    <t>Registro complementario (proveedor)</t>
  </si>
  <si>
    <t>Catalogación</t>
  </si>
  <si>
    <t>Catalogación con etiquetas</t>
  </si>
  <si>
    <t>Control calidad catalogación</t>
  </si>
  <si>
    <t>Elaboración etiquetas</t>
  </si>
  <si>
    <t xml:space="preserve">Añadido de copias (con verificación)   </t>
  </si>
  <si>
    <t>Hecho</t>
  </si>
  <si>
    <t>Cambios de estado</t>
  </si>
  <si>
    <t>Solicitud de tejuelos</t>
  </si>
  <si>
    <t>Pegado de tejuelos</t>
  </si>
  <si>
    <t>Bandas de seguridad</t>
  </si>
  <si>
    <t>Marcación (fecha y topográfico)</t>
  </si>
  <si>
    <t>Alistamiento entrega (lectura códigos y elaboración acta)</t>
  </si>
  <si>
    <t>Clasificación por sucursal</t>
  </si>
  <si>
    <t>Empaque de material</t>
  </si>
  <si>
    <t>Organización de estantería</t>
  </si>
  <si>
    <t>Datos complementarios (fase digitalización)</t>
  </si>
  <si>
    <t>Ingreso inicial (material recibido por BLAA)</t>
  </si>
  <si>
    <t>Añadido de copias (con marcación)</t>
  </si>
  <si>
    <t>Control de calidad (añadido)</t>
  </si>
  <si>
    <t>Control de calidad (empaste)</t>
  </si>
  <si>
    <t>Añadido empaste</t>
  </si>
  <si>
    <t xml:space="preserve">Banco de la republica </t>
  </si>
  <si>
    <t>Ejemplar</t>
  </si>
  <si>
    <t>Imagén</t>
  </si>
  <si>
    <t>Título</t>
  </si>
  <si>
    <t>Regristro</t>
  </si>
  <si>
    <t>1. Recoger proveedor zona de descargue y/o recepción.
2. Verificación de remisión vs material
3. Ajusta remisión de acuerdo al material recibido
4. Colocar sello de la cantidad recibida
5. Ubicar el material en la zona designada para el siguiente proceso.
6. Notificación al contratista de la cantidad de ejemplares y precios del pedido recibido.</t>
  </si>
  <si>
    <t>1. Colocar código de barras a cada ejemplar.
2. Colocar sucursal a cada ejemplar
3. Registrar cada ejemplar en el gestor alma  
4. Elaboración de hoja de ruta.
5. Ubicar el material en la zona designada para el siguiente proceso.</t>
  </si>
  <si>
    <t>1. Solicitar el pedido a digitalizar
2. Ubicar el pedido en la estantería
3. Se digitaliza, portada, contraportada, introducción, Página legal, bibliografías, contenido
4. Creación de la carpeta digital con el nombre del pedido.
5. Informar al encargado que el pedido se encuentra digitalizado.</t>
  </si>
  <si>
    <t>1. Se verifica la hoja de ruta asignada.
2. Se realiza la búsqueda del título a catalogar en el gestor alma.
3. Elabora cada etiqueta de acuerdo al material catalogado bajo el instrumento de catalogación son 20 campos.
4. Elaborar Clasificación del titulo
5. Registrar en hoja de ruta clasificación del titulo
6. Informar al encargado la cantidad de títulos de acuerdo al pedido. 
7. Solicitud de nuevo pedido a catalogar.</t>
  </si>
  <si>
    <t>1. Se verifica la hoja de ruta asignada.
2. Se realiza la búsqueda del título a catalogar en el gestor alma.
3. Verifica las etiquetas elaboradas en el anterior proceso
4. Elabora cada etiqueta de acuerdo al material catalogado bajo el instrumento de catalogación son.
5. Elaborar Clasificación del titulo
6. Búsqueda y creación de materias
7. Búsqueda y creación de autoridades.
8. Registrar en hoja de ruta clasificación del titulo
9. Informar al encargado la cantidad de títulos de acuerdo al pedido. 
10. Solicitud de nuevo pedido a catalogar con etiquetas.</t>
  </si>
  <si>
    <t>1. Se verifica hoja de ruta de los catalogadores
2. Se realiza verificación en orden de pedido recibido.
3. Verificación de 20 campos en el gestor alma.
4. Verificación de ortografía
5. Verificación de autoridades
6. Creación de materias
7. Verificación que la clasificación no se repita.
8. Se notifica al encargado que el proceso de control fue terminado
9. Se entregan los títulos a la persona encargada de solicitud de tejuelos.</t>
  </si>
  <si>
    <t>1. Se solicita el pedido para la elaboración de etiquetas de los títulos.
2. Se realiza la búsqueda por el ISBN.
3. Se registran 15 etiquetas en el gestor alma.
4. Para elaboración de etiquetas se realiza de acorde al instructivo
5. Informar al encargado la cantidad de títulos de acuerdo al pedido. 
6. Solicitud de nuevo pedido a para elaboración de etiquetas.</t>
  </si>
  <si>
    <t>1. Verificar la hoja de ruta del pedido.
2. Buscar el libro en la hoja de ruta.
3. Verificar la asignatura y la tarifa.
4. En alma si registra el código de barras.
5. Se selecciona los ejemplares el tipo de proceso.
6. Verifica tarifa que este en tipo de proceso.
7. Colocar el valor en el número de inventario. 
8. Verificar el libro la fecha y topográfico.</t>
  </si>
  <si>
    <t>1. Realizar formula condicional.
2. Filtrar por color.
3. Verificación de valor por pedido.</t>
  </si>
  <si>
    <t>1. Verificar hoja de ruta 
2. Realiza búsqueda por titulo
3. Realiza el cambio de estado en el sistema alma
4. Notifica al encargado que el proceso quedo culminado.</t>
  </si>
  <si>
    <t xml:space="preserve">1. Coloca en puesto en el puesto la cantidad de ejemplares del pedido a colocar el tejuelo.
2. Se separa por topográficos los tejuelos del pedido.
3. Busca el ejemplar y verifica el topográfico que se encuentra en la primera página del mismo.
4. Coloca el tejuelo en la parte inferior derecha sin tapar información.
</t>
  </si>
  <si>
    <t>1. Solicitud del pedido para colocar bandas de seguridad.
2. Coloca el material en su puesto de trabajo.
3. Coloca la banda en la mitad del libro para empaste blanda.
4. Coloca la banda en el interior del lomo para empaste duro.
5. Ubicar el material en la zona designada para el siguiente proceso.</t>
  </si>
  <si>
    <t xml:space="preserve">1. Solicitud del pedido para marcación de los ejemplares 
2. Coloca el material en su puesto de trabajo.
3. Verificar en alma los datos para la marcación 
4. Registrar fecha y topográfico en cada ejemplar
5. Ubicar el material en la zona designada para el siguiente proceso. </t>
  </si>
  <si>
    <t>1. Verifica la hoja de ruta de los pedidos que están listo para entrega al contratista.
2. Realiza la búsqueda del material físico de acuerdo a los pedidos
3. En la hoja de ruta elabora formula condicional para identificar que le material físico concuerda con lo reportado en la hoja de ruta.
4. Pasar uno a uno el código de barras de los ejemplares verificando que se esté sombrando cada registro en la hoja de ruta.</t>
  </si>
  <si>
    <t>1. Verifica la hoja de ruta de los pedidos que están listo para entrega al contratista.
2. Realiza la búsqueda física del pedido verificando que este completo el material.
3. Se procede a separar el material de acuerdo de la sucursal que pertenece. Verificando el ejemplar en la primera hoja.
4. Una vez terminada la separación se procede a contar la cantidad de ejemplares hay por sucursal.</t>
  </si>
  <si>
    <t>1. Coloca el material en canastilla por sucursal
2. Verifica que cada material este separado por sucursal sin posibilidad que se involucre con el material por otra sucursal.
3. Coloca las canastillas en la zona de cargue para entregar el material al contratista.</t>
  </si>
  <si>
    <t>1. Verificación de espacio que se encuentra la estantería.
2. Correr los pedidos de derecha a izquierda.
3. Ubicar los pedidos que son asignados.</t>
  </si>
  <si>
    <t>1. Registrar en hoja de ruta dimensiones, ilustraciones, cantidad de paginas 
2. Medir libro.
3. Ubicar ejemplares en la estantería.
4. Informar al encargado que el pedido se encuentra digitalizado.</t>
  </si>
  <si>
    <t>1. Buscar en la remisión el título.
2. Búsqueda por ISBN y/o nombre del titulo
3. Ingreso de datos del titulo
4. Ingreso de información correspondiente a 12 campos.
5. Ajustar el valor de título con el descuento. 
6. Búsqueda del título creado
7. Creación de línea de orden 
8.  Registrar datos complementarios de la (POL)</t>
  </si>
  <si>
    <t>1. Verificar la hoja de ruta del pedido.
2. Buscar el libro en la hoja de ruta.
3. Verificar la asignatura y la tarifa.
4. En alma si registra el código de barras.
5. Se selecciona los ejemplares el tipo de proceso.
6. Verifica tarifa que este en tipo de proceso.
7. Colocar el valor en el número de inventario. 
8. Marcar libro la fecha y topográfico</t>
  </si>
  <si>
    <t>1. Realizar búsqueda por pedido.
2. Buscar en el control de remisiones, el número de pedido para verificación de tarifa.
3. Realizar búsqueda por código de barras.
4. Velicación de depósito y topográfico.
5. Verificación de campos de añadido.
6. Verificación de valores.</t>
  </si>
  <si>
    <t>1. Verificación de la descripción 
2. Búsqueda por código de barras en el archivo enviado al proveedor. 
3. Verificación de color de empaste y calidad de pintura.</t>
  </si>
  <si>
    <t>1. Búsqueda por código de barras para identificar el titulo
2. Búsqueda por código de barras para identificar el ejemplar
3. Registro de 6 campos 
4. Registro de valores de acuerdo al proceso realizado
5. Suma de los valores ya existentes dentro del registro.</t>
  </si>
  <si>
    <t>Procesos técnicos a material Bibliográfico.</t>
  </si>
  <si>
    <t>Vanti - Folio Fiscal</t>
  </si>
  <si>
    <t>Folio fiscal - sap</t>
  </si>
  <si>
    <t>Tiba - Bemel</t>
  </si>
  <si>
    <t>Inventario</t>
  </si>
  <si>
    <t>1.Se diligencia la sociedad, A1 en clase de documento y se despliega la flecha amarilla del número de documento.
2. Se desmarca la A1 de la clase de documentos y se da clic en el reloj para que cargue los documentos
3. Se revisa nombre de acreedor  y número de referencia  en la factura, se copia el número de folio fiscal. Cerrando archivo PDF o XML para evitar margen de error .
4. Se selecciona espacio en la factura (posición 1). 
5. Seleccionar servicio para objeto
6.Se copia el número de folio fiscal revisando que contenga los 36 caracteres y corresponda con el documento y se le da chulito. Adicional se pega el dato de folio fiscal en la base Excel para realizar control de calidad. 
7. Se le da en el diskeste para que todas las posiciones del documento tomen la modificación.</t>
  </si>
  <si>
    <t>1. Digitar Casilla Naviera con un promedio de 20 caracteres
2. Digitar Casilla MBL con un promedio de 16 caracteres alfanuméricos
3. Digitar Casilla Nombre de la carpeta con un promedio de 28 caracteres
4. Digitar Casilla Cliente con un promedio de 25 caracteres 
5. Digitar Casilla Numero interno con un promedio de 10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</si>
</sst>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0"/>
      <name val="Arial"/>
      <family val="2"/>
    </font>
    <font>
      <sz val="10"/>
      <color theme="1"/>
      <name val="Arial"/>
      <family val="2"/>
    </font>
    <font>
      <b/>
      <sz val="10"/>
      <color theme="1"/>
      <name val="Arial"/>
      <family val="2"/>
    </font>
    <font>
      <sz val="11"/>
      <name val="Arial"/>
      <family val="2"/>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2" fillId="0" borderId="1" xfId="0" applyFont="1" applyBorder="1" applyAlignment="1">
      <alignment wrapText="1"/>
    </xf>
    <xf numFmtId="0" fontId="2" fillId="0" borderId="1" xfId="0" applyFont="1" applyBorder="1" applyAlignment="1">
      <alignment vertical="top"/>
    </xf>
    <xf numFmtId="0" fontId="2"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vertical="top" wrapText="1"/>
    </xf>
    <xf numFmtId="2"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2" fontId="2" fillId="0" borderId="1" xfId="0" applyNumberFormat="1" applyFont="1" applyBorder="1" applyAlignment="1">
      <alignment horizontal="center" vertical="center" wrapText="1"/>
    </xf>
    <xf numFmtId="1" fontId="2" fillId="0" borderId="1" xfId="0" applyNumberFormat="1" applyFont="1" applyBorder="1" applyAlignment="1">
      <alignment horizontal="center" vertical="center"/>
    </xf>
    <xf numFmtId="0" fontId="1" fillId="0" borderId="1" xfId="1" applyFont="1" applyBorder="1" applyAlignment="1">
      <alignment horizontal="center" vertical="center"/>
    </xf>
    <xf numFmtId="2" fontId="1" fillId="0" borderId="1" xfId="1" applyNumberFormat="1" applyFont="1" applyBorder="1" applyAlignment="1" applyProtection="1">
      <alignment horizontal="center" vertical="center"/>
      <protection hidden="1"/>
    </xf>
    <xf numFmtId="164" fontId="1" fillId="0" borderId="1" xfId="1" applyNumberFormat="1" applyFont="1" applyBorder="1" applyAlignment="1" applyProtection="1">
      <alignment horizontal="center" vertical="center"/>
      <protection hidden="1"/>
    </xf>
    <xf numFmtId="2" fontId="2" fillId="0" borderId="1" xfId="0" applyNumberFormat="1" applyFont="1" applyBorder="1" applyAlignment="1">
      <alignment horizontal="left" vertical="center" indent="5"/>
    </xf>
    <xf numFmtId="1" fontId="1" fillId="0" borderId="1" xfId="1" applyNumberFormat="1" applyFont="1" applyBorder="1" applyAlignment="1" applyProtection="1">
      <alignment horizontal="center" vertical="center"/>
      <protection hidden="1"/>
    </xf>
    <xf numFmtId="0" fontId="1" fillId="0" borderId="1" xfId="1" applyFont="1" applyBorder="1" applyAlignment="1" applyProtection="1">
      <alignment horizontal="center"/>
      <protection hidden="1"/>
    </xf>
    <xf numFmtId="0" fontId="1" fillId="0" borderId="1" xfId="1" applyFont="1" applyFill="1" applyBorder="1" applyAlignment="1">
      <alignment horizontal="center" vertical="center"/>
    </xf>
    <xf numFmtId="0" fontId="1" fillId="0" borderId="1" xfId="1" applyFont="1" applyFill="1" applyBorder="1" applyAlignment="1" applyProtection="1">
      <alignment horizontal="center"/>
      <protection hidden="1"/>
    </xf>
    <xf numFmtId="0" fontId="1" fillId="0" borderId="1" xfId="1" applyFont="1" applyFill="1" applyBorder="1" applyAlignment="1" applyProtection="1">
      <alignment horizontal="center" vertical="center"/>
      <protection hidden="1"/>
    </xf>
    <xf numFmtId="0" fontId="1" fillId="0" borderId="1" xfId="1" applyFont="1" applyBorder="1" applyAlignment="1" applyProtection="1">
      <alignment horizontal="center" vertical="center"/>
      <protection hidden="1"/>
    </xf>
    <xf numFmtId="0" fontId="2" fillId="0" borderId="1" xfId="0" applyFont="1" applyBorder="1" applyAlignment="1">
      <alignment vertical="center" wrapText="1"/>
    </xf>
    <xf numFmtId="0" fontId="2" fillId="0" borderId="1" xfId="0" applyFont="1" applyBorder="1" applyAlignment="1">
      <alignment vertical="center"/>
    </xf>
    <xf numFmtId="0" fontId="1" fillId="0" borderId="1" xfId="1" applyFont="1" applyBorder="1" applyAlignment="1">
      <alignment horizontal="center" vertical="center" wrapText="1"/>
    </xf>
    <xf numFmtId="0" fontId="1" fillId="0" borderId="1" xfId="1" applyFont="1" applyBorder="1" applyAlignment="1">
      <alignment vertical="top"/>
    </xf>
    <xf numFmtId="0" fontId="1" fillId="0" borderId="1" xfId="1" applyFont="1" applyBorder="1" applyAlignment="1">
      <alignment vertical="top" wrapText="1"/>
    </xf>
    <xf numFmtId="0" fontId="4" fillId="0" borderId="1" xfId="1" applyFont="1" applyFill="1" applyBorder="1" applyAlignment="1">
      <alignment horizontal="left" vertical="top" wrapText="1"/>
    </xf>
    <xf numFmtId="0" fontId="4" fillId="0" borderId="1" xfId="1" applyFont="1" applyFill="1" applyBorder="1" applyAlignment="1">
      <alignment vertical="top" wrapText="1"/>
    </xf>
    <xf numFmtId="0" fontId="2" fillId="0" borderId="1" xfId="0" applyFont="1" applyFill="1" applyBorder="1" applyAlignment="1">
      <alignment vertical="top" wrapText="1"/>
    </xf>
    <xf numFmtId="0" fontId="1" fillId="0" borderId="1" xfId="1" applyFont="1" applyFill="1" applyBorder="1" applyAlignment="1">
      <alignment vertical="top" wrapText="1"/>
    </xf>
    <xf numFmtId="0" fontId="1" fillId="0" borderId="1" xfId="1" applyFont="1" applyFill="1" applyBorder="1" applyAlignment="1">
      <alignment vertical="top"/>
    </xf>
    <xf numFmtId="0" fontId="4" fillId="0" borderId="1" xfId="1" applyFont="1" applyFill="1" applyBorder="1" applyAlignment="1">
      <alignment horizontal="center" vertical="center"/>
    </xf>
    <xf numFmtId="0" fontId="4" fillId="0" borderId="1" xfId="1" applyFont="1" applyFill="1" applyBorder="1" applyAlignment="1" applyProtection="1">
      <alignment horizontal="center" vertical="center"/>
      <protection hidden="1"/>
    </xf>
    <xf numFmtId="164" fontId="4" fillId="0" borderId="1" xfId="1" applyNumberFormat="1" applyFont="1" applyFill="1" applyBorder="1" applyAlignment="1" applyProtection="1">
      <alignment horizontal="center" vertical="center"/>
      <protection hidden="1"/>
    </xf>
    <xf numFmtId="0" fontId="4" fillId="0" borderId="1" xfId="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143"/>
  <sheetViews>
    <sheetView showGridLines="0" tabSelected="1" topLeftCell="C1" zoomScaleNormal="100" workbookViewId="0">
      <pane ySplit="1" topLeftCell="A46" activePane="bottomLeft" state="frozen"/>
      <selection pane="bottomLeft" activeCell="E49" sqref="E49"/>
    </sheetView>
  </sheetViews>
  <sheetFormatPr baseColWidth="10" defaultRowHeight="15" x14ac:dyDescent="0.25"/>
  <cols>
    <col min="1" max="1" width="20.140625" customWidth="1"/>
    <col min="2" max="2" width="14.42578125" customWidth="1"/>
    <col min="3" max="3" width="24.5703125" customWidth="1"/>
    <col min="4" max="4" width="36" bestFit="1" customWidth="1"/>
    <col min="5" max="5" width="82.5703125" bestFit="1" customWidth="1"/>
    <col min="6" max="6" width="18" bestFit="1" customWidth="1"/>
    <col min="7" max="7" width="17.42578125" bestFit="1" customWidth="1"/>
    <col min="8" max="8" width="19" bestFit="1" customWidth="1"/>
    <col min="9" max="9" width="20.7109375" customWidth="1"/>
  </cols>
  <sheetData>
    <row r="1" spans="1:9" ht="32.25" customHeight="1" x14ac:dyDescent="0.25">
      <c r="A1" s="2" t="s">
        <v>56</v>
      </c>
      <c r="B1" s="2" t="s">
        <v>55</v>
      </c>
      <c r="C1" s="2" t="s">
        <v>3</v>
      </c>
      <c r="D1" s="2" t="s">
        <v>0</v>
      </c>
      <c r="E1" s="1" t="s">
        <v>54</v>
      </c>
      <c r="F1" s="2" t="s">
        <v>8</v>
      </c>
      <c r="G1" s="2" t="s">
        <v>7</v>
      </c>
      <c r="H1" s="2" t="s">
        <v>6</v>
      </c>
      <c r="I1" s="2" t="s">
        <v>5</v>
      </c>
    </row>
    <row r="2" spans="1:9" ht="179.25" hidden="1" x14ac:dyDescent="0.25">
      <c r="A2" s="8" t="s">
        <v>1</v>
      </c>
      <c r="B2" s="4" t="s">
        <v>57</v>
      </c>
      <c r="C2" s="6" t="s">
        <v>4</v>
      </c>
      <c r="D2" s="6" t="s">
        <v>2</v>
      </c>
      <c r="E2" s="3" t="s">
        <v>9</v>
      </c>
      <c r="F2" s="5">
        <v>1100</v>
      </c>
      <c r="G2" s="10">
        <v>122.22222222222223</v>
      </c>
      <c r="H2" s="9">
        <v>2.0370370370370372</v>
      </c>
      <c r="I2" s="5" t="s">
        <v>10</v>
      </c>
    </row>
    <row r="3" spans="1:9" ht="77.25" hidden="1" x14ac:dyDescent="0.25">
      <c r="A3" s="8" t="s">
        <v>1</v>
      </c>
      <c r="B3" s="4" t="s">
        <v>57</v>
      </c>
      <c r="C3" s="6" t="s">
        <v>4</v>
      </c>
      <c r="D3" s="6" t="s">
        <v>11</v>
      </c>
      <c r="E3" s="3" t="s">
        <v>12</v>
      </c>
      <c r="F3" s="5">
        <v>3240</v>
      </c>
      <c r="G3" s="10">
        <v>360</v>
      </c>
      <c r="H3" s="9">
        <v>6</v>
      </c>
      <c r="I3" s="5" t="s">
        <v>13</v>
      </c>
    </row>
    <row r="4" spans="1:9" ht="141" hidden="1" x14ac:dyDescent="0.25">
      <c r="A4" s="8" t="s">
        <v>1</v>
      </c>
      <c r="B4" s="4" t="s">
        <v>57</v>
      </c>
      <c r="C4" s="6" t="s">
        <v>4</v>
      </c>
      <c r="D4" s="6" t="s">
        <v>16</v>
      </c>
      <c r="E4" s="3" t="s">
        <v>14</v>
      </c>
      <c r="F4" s="5">
        <v>4000</v>
      </c>
      <c r="G4" s="10">
        <v>444.44444444444446</v>
      </c>
      <c r="H4" s="9">
        <v>7.4074074074074074</v>
      </c>
      <c r="I4" s="5" t="s">
        <v>15</v>
      </c>
    </row>
    <row r="5" spans="1:9" ht="90" hidden="1" x14ac:dyDescent="0.25">
      <c r="A5" s="8" t="s">
        <v>1</v>
      </c>
      <c r="B5" s="4" t="s">
        <v>57</v>
      </c>
      <c r="C5" s="6" t="s">
        <v>4</v>
      </c>
      <c r="D5" s="6" t="s">
        <v>35</v>
      </c>
      <c r="E5" s="3" t="s">
        <v>36</v>
      </c>
      <c r="F5" s="5">
        <v>11000</v>
      </c>
      <c r="G5" s="10">
        <v>1222.2222222222222</v>
      </c>
      <c r="H5" s="9">
        <v>20.37037037037037</v>
      </c>
      <c r="I5" s="5" t="s">
        <v>15</v>
      </c>
    </row>
    <row r="6" spans="1:9" ht="51.75" hidden="1" x14ac:dyDescent="0.25">
      <c r="A6" s="8" t="s">
        <v>1</v>
      </c>
      <c r="B6" s="4" t="s">
        <v>57</v>
      </c>
      <c r="C6" s="6" t="s">
        <v>4</v>
      </c>
      <c r="D6" s="6" t="s">
        <v>17</v>
      </c>
      <c r="E6" s="3" t="s">
        <v>18</v>
      </c>
      <c r="F6" s="5">
        <v>2260</v>
      </c>
      <c r="G6" s="10">
        <v>251.11111111111111</v>
      </c>
      <c r="H6" s="9">
        <v>4.1851851851851851</v>
      </c>
      <c r="I6" s="5" t="s">
        <v>13</v>
      </c>
    </row>
    <row r="7" spans="1:9" ht="64.5" hidden="1" x14ac:dyDescent="0.25">
      <c r="A7" s="8" t="s">
        <v>1</v>
      </c>
      <c r="B7" s="4" t="s">
        <v>57</v>
      </c>
      <c r="C7" s="6" t="s">
        <v>4</v>
      </c>
      <c r="D7" s="6" t="s">
        <v>19</v>
      </c>
      <c r="E7" s="3" t="s">
        <v>20</v>
      </c>
      <c r="F7" s="5">
        <v>2700</v>
      </c>
      <c r="G7" s="10">
        <v>300</v>
      </c>
      <c r="H7" s="9">
        <v>5</v>
      </c>
      <c r="I7" s="5" t="s">
        <v>13</v>
      </c>
    </row>
    <row r="8" spans="1:9" ht="51" hidden="1" x14ac:dyDescent="0.25">
      <c r="A8" s="8" t="s">
        <v>1</v>
      </c>
      <c r="B8" s="4" t="s">
        <v>57</v>
      </c>
      <c r="C8" s="6" t="s">
        <v>4</v>
      </c>
      <c r="D8" s="6" t="s">
        <v>46</v>
      </c>
      <c r="E8" s="8" t="s">
        <v>21</v>
      </c>
      <c r="F8" s="5">
        <v>2700</v>
      </c>
      <c r="G8" s="10">
        <v>300</v>
      </c>
      <c r="H8" s="9">
        <v>5</v>
      </c>
      <c r="I8" s="5" t="s">
        <v>13</v>
      </c>
    </row>
    <row r="9" spans="1:9" ht="105.75" hidden="1" customHeight="1" x14ac:dyDescent="0.25">
      <c r="A9" s="8" t="s">
        <v>1</v>
      </c>
      <c r="B9" s="4" t="s">
        <v>57</v>
      </c>
      <c r="C9" s="6" t="s">
        <v>4</v>
      </c>
      <c r="D9" s="6" t="s">
        <v>23</v>
      </c>
      <c r="E9" s="8" t="s">
        <v>22</v>
      </c>
      <c r="F9" s="5">
        <v>1700</v>
      </c>
      <c r="G9" s="10">
        <v>188.88888888888889</v>
      </c>
      <c r="H9" s="9">
        <v>3.1481481481481479</v>
      </c>
      <c r="I9" s="5" t="s">
        <v>13</v>
      </c>
    </row>
    <row r="10" spans="1:9" ht="77.25" hidden="1" x14ac:dyDescent="0.25">
      <c r="A10" s="8" t="s">
        <v>1</v>
      </c>
      <c r="B10" s="4" t="s">
        <v>57</v>
      </c>
      <c r="C10" s="6" t="s">
        <v>4</v>
      </c>
      <c r="D10" s="6" t="s">
        <v>24</v>
      </c>
      <c r="E10" s="3" t="s">
        <v>25</v>
      </c>
      <c r="F10" s="5">
        <v>9900</v>
      </c>
      <c r="G10" s="10">
        <v>1100</v>
      </c>
      <c r="H10" s="9">
        <v>18.333333333333332</v>
      </c>
      <c r="I10" s="5" t="s">
        <v>13</v>
      </c>
    </row>
    <row r="11" spans="1:9" ht="90" hidden="1" x14ac:dyDescent="0.25">
      <c r="A11" s="8" t="s">
        <v>1</v>
      </c>
      <c r="B11" s="4" t="s">
        <v>57</v>
      </c>
      <c r="C11" s="6" t="s">
        <v>4</v>
      </c>
      <c r="D11" s="6" t="s">
        <v>44</v>
      </c>
      <c r="E11" s="3" t="s">
        <v>45</v>
      </c>
      <c r="F11" s="5">
        <v>1900</v>
      </c>
      <c r="G11" s="10">
        <v>211.11111111111111</v>
      </c>
      <c r="H11" s="9">
        <v>3.5185185185185186</v>
      </c>
      <c r="I11" s="5" t="s">
        <v>13</v>
      </c>
    </row>
    <row r="12" spans="1:9" ht="64.5" hidden="1" x14ac:dyDescent="0.25">
      <c r="A12" s="8" t="s">
        <v>1</v>
      </c>
      <c r="B12" s="4" t="s">
        <v>57</v>
      </c>
      <c r="C12" s="6" t="s">
        <v>4</v>
      </c>
      <c r="D12" s="6" t="s">
        <v>26</v>
      </c>
      <c r="E12" s="3" t="s">
        <v>132</v>
      </c>
      <c r="F12" s="5">
        <v>1400</v>
      </c>
      <c r="G12" s="10">
        <v>155.55555555555554</v>
      </c>
      <c r="H12" s="9">
        <v>2.5925925925925926</v>
      </c>
      <c r="I12" s="5" t="s">
        <v>13</v>
      </c>
    </row>
    <row r="13" spans="1:9" ht="76.5" hidden="1" x14ac:dyDescent="0.25">
      <c r="A13" s="8" t="s">
        <v>1</v>
      </c>
      <c r="B13" s="4" t="s">
        <v>57</v>
      </c>
      <c r="C13" s="6" t="s">
        <v>4</v>
      </c>
      <c r="D13" s="6" t="s">
        <v>28</v>
      </c>
      <c r="E13" s="8" t="s">
        <v>27</v>
      </c>
      <c r="F13" s="5">
        <v>1350</v>
      </c>
      <c r="G13" s="10">
        <v>150</v>
      </c>
      <c r="H13" s="9">
        <v>2.5</v>
      </c>
      <c r="I13" s="5" t="s">
        <v>13</v>
      </c>
    </row>
    <row r="14" spans="1:9" ht="102.75" hidden="1" x14ac:dyDescent="0.25">
      <c r="A14" s="8" t="s">
        <v>1</v>
      </c>
      <c r="B14" s="4" t="s">
        <v>57</v>
      </c>
      <c r="C14" s="6" t="s">
        <v>4</v>
      </c>
      <c r="D14" s="6" t="s">
        <v>30</v>
      </c>
      <c r="E14" s="3" t="s">
        <v>29</v>
      </c>
      <c r="F14" s="5">
        <v>108</v>
      </c>
      <c r="G14" s="10">
        <v>12</v>
      </c>
      <c r="H14" s="9">
        <v>0.2</v>
      </c>
      <c r="I14" s="5" t="s">
        <v>13</v>
      </c>
    </row>
    <row r="15" spans="1:9" ht="141" hidden="1" x14ac:dyDescent="0.25">
      <c r="A15" s="8" t="s">
        <v>1</v>
      </c>
      <c r="B15" s="4" t="s">
        <v>57</v>
      </c>
      <c r="C15" s="6" t="s">
        <v>4</v>
      </c>
      <c r="D15" s="6" t="s">
        <v>32</v>
      </c>
      <c r="E15" s="3" t="s">
        <v>31</v>
      </c>
      <c r="F15" s="5">
        <v>144</v>
      </c>
      <c r="G15" s="10">
        <v>16</v>
      </c>
      <c r="H15" s="9">
        <v>0.26666666666666666</v>
      </c>
      <c r="I15" s="5" t="s">
        <v>15</v>
      </c>
    </row>
    <row r="16" spans="1:9" ht="51.75" hidden="1" x14ac:dyDescent="0.25">
      <c r="A16" s="8" t="s">
        <v>1</v>
      </c>
      <c r="B16" s="4" t="s">
        <v>57</v>
      </c>
      <c r="C16" s="6" t="s">
        <v>4</v>
      </c>
      <c r="D16" s="6" t="s">
        <v>34</v>
      </c>
      <c r="E16" s="3" t="s">
        <v>33</v>
      </c>
      <c r="F16" s="5">
        <v>1800</v>
      </c>
      <c r="G16" s="10">
        <v>200</v>
      </c>
      <c r="H16" s="9">
        <v>3.3333333333333335</v>
      </c>
      <c r="I16" s="5" t="s">
        <v>13</v>
      </c>
    </row>
    <row r="17" spans="1:9" ht="192" hidden="1" x14ac:dyDescent="0.25">
      <c r="A17" s="8" t="s">
        <v>1</v>
      </c>
      <c r="B17" s="4" t="s">
        <v>57</v>
      </c>
      <c r="C17" s="6" t="s">
        <v>4</v>
      </c>
      <c r="D17" s="6" t="s">
        <v>38</v>
      </c>
      <c r="E17" s="3" t="s">
        <v>37</v>
      </c>
      <c r="F17" s="5">
        <v>2250</v>
      </c>
      <c r="G17" s="10">
        <v>250</v>
      </c>
      <c r="H17" s="9">
        <v>4.166666666666667</v>
      </c>
      <c r="I17" s="5" t="s">
        <v>13</v>
      </c>
    </row>
    <row r="18" spans="1:9" ht="90" hidden="1" x14ac:dyDescent="0.25">
      <c r="A18" s="8" t="s">
        <v>1</v>
      </c>
      <c r="B18" s="4" t="s">
        <v>57</v>
      </c>
      <c r="C18" s="6" t="s">
        <v>4</v>
      </c>
      <c r="D18" s="6" t="s">
        <v>40</v>
      </c>
      <c r="E18" s="3" t="s">
        <v>39</v>
      </c>
      <c r="F18" s="5">
        <v>90</v>
      </c>
      <c r="G18" s="10">
        <v>10</v>
      </c>
      <c r="H18" s="9">
        <v>0.16666666666666666</v>
      </c>
      <c r="I18" s="5" t="s">
        <v>41</v>
      </c>
    </row>
    <row r="19" spans="1:9" ht="90" hidden="1" x14ac:dyDescent="0.25">
      <c r="A19" s="8" t="s">
        <v>1</v>
      </c>
      <c r="B19" s="4" t="s">
        <v>57</v>
      </c>
      <c r="C19" s="6" t="s">
        <v>4</v>
      </c>
      <c r="D19" s="6" t="s">
        <v>43</v>
      </c>
      <c r="E19" s="3" t="s">
        <v>42</v>
      </c>
      <c r="F19" s="5">
        <v>2600</v>
      </c>
      <c r="G19" s="10">
        <v>288.88888888888891</v>
      </c>
      <c r="H19" s="9">
        <v>4.8148148148148149</v>
      </c>
      <c r="I19" s="5" t="s">
        <v>10</v>
      </c>
    </row>
    <row r="20" spans="1:9" ht="64.5" hidden="1" x14ac:dyDescent="0.25">
      <c r="A20" s="8" t="s">
        <v>1</v>
      </c>
      <c r="B20" s="4" t="s">
        <v>57</v>
      </c>
      <c r="C20" s="6" t="s">
        <v>4</v>
      </c>
      <c r="D20" s="6" t="s">
        <v>47</v>
      </c>
      <c r="E20" s="3" t="s">
        <v>48</v>
      </c>
      <c r="F20" s="5">
        <v>3500</v>
      </c>
      <c r="G20" s="10">
        <v>388.88888888888891</v>
      </c>
      <c r="H20" s="9">
        <v>6.4814814814814818</v>
      </c>
      <c r="I20" s="5" t="s">
        <v>13</v>
      </c>
    </row>
    <row r="21" spans="1:9" ht="243" hidden="1" x14ac:dyDescent="0.25">
      <c r="A21" s="8" t="s">
        <v>1</v>
      </c>
      <c r="B21" s="4" t="s">
        <v>57</v>
      </c>
      <c r="C21" s="6" t="s">
        <v>4</v>
      </c>
      <c r="D21" s="7" t="s">
        <v>49</v>
      </c>
      <c r="E21" s="3" t="s">
        <v>50</v>
      </c>
      <c r="F21" s="5">
        <v>550</v>
      </c>
      <c r="G21" s="10">
        <v>61.111111111111114</v>
      </c>
      <c r="H21" s="9">
        <v>1.0185185185185186</v>
      </c>
      <c r="I21" s="5" t="s">
        <v>13</v>
      </c>
    </row>
    <row r="22" spans="1:9" ht="51.75" hidden="1" x14ac:dyDescent="0.25">
      <c r="A22" s="8" t="s">
        <v>1</v>
      </c>
      <c r="B22" s="4" t="s">
        <v>57</v>
      </c>
      <c r="C22" s="6" t="s">
        <v>4</v>
      </c>
      <c r="D22" s="6" t="s">
        <v>52</v>
      </c>
      <c r="E22" s="3" t="s">
        <v>53</v>
      </c>
      <c r="F22" s="5">
        <v>900</v>
      </c>
      <c r="G22" s="5">
        <v>100</v>
      </c>
      <c r="H22" s="9">
        <v>1.6666666666666667</v>
      </c>
      <c r="I22" s="11" t="s">
        <v>51</v>
      </c>
    </row>
    <row r="23" spans="1:9" ht="90" hidden="1" x14ac:dyDescent="0.25">
      <c r="A23" s="8" t="s">
        <v>1</v>
      </c>
      <c r="B23" s="4" t="s">
        <v>57</v>
      </c>
      <c r="C23" s="6" t="s">
        <v>4</v>
      </c>
      <c r="D23" s="6" t="s">
        <v>58</v>
      </c>
      <c r="E23" s="3" t="s">
        <v>162</v>
      </c>
      <c r="F23" s="5">
        <v>99</v>
      </c>
      <c r="G23" s="5">
        <v>11</v>
      </c>
      <c r="H23" s="9">
        <v>0.18333333333333332</v>
      </c>
      <c r="I23" s="5" t="s">
        <v>13</v>
      </c>
    </row>
    <row r="24" spans="1:9" ht="159.75" hidden="1" customHeight="1" x14ac:dyDescent="0.25">
      <c r="A24" s="8" t="s">
        <v>1</v>
      </c>
      <c r="B24" s="4" t="s">
        <v>57</v>
      </c>
      <c r="C24" s="6" t="s">
        <v>310</v>
      </c>
      <c r="D24" s="6" t="s">
        <v>311</v>
      </c>
      <c r="E24" s="3" t="s">
        <v>314</v>
      </c>
      <c r="F24" s="5">
        <v>800</v>
      </c>
      <c r="G24" s="5">
        <f>+F24/9</f>
        <v>88.888888888888886</v>
      </c>
      <c r="H24" s="9">
        <f>+G24/60</f>
        <v>1.4814814814814814</v>
      </c>
      <c r="I24" s="5" t="s">
        <v>215</v>
      </c>
    </row>
    <row r="25" spans="1:9" ht="71.25" hidden="1" customHeight="1" x14ac:dyDescent="0.25">
      <c r="A25" s="8" t="s">
        <v>1</v>
      </c>
      <c r="B25" s="4" t="s">
        <v>57</v>
      </c>
      <c r="C25" s="6" t="s">
        <v>312</v>
      </c>
      <c r="D25" s="6" t="s">
        <v>313</v>
      </c>
      <c r="E25" s="3" t="s">
        <v>315</v>
      </c>
      <c r="F25" s="5">
        <v>900</v>
      </c>
      <c r="G25" s="5">
        <f>+F25/8</f>
        <v>112.5</v>
      </c>
      <c r="H25" s="9">
        <f>+G25/60</f>
        <v>1.875</v>
      </c>
      <c r="I25" s="5" t="s">
        <v>215</v>
      </c>
    </row>
    <row r="26" spans="1:9" ht="268.5" x14ac:dyDescent="0.25">
      <c r="A26" s="8" t="s">
        <v>1</v>
      </c>
      <c r="B26" s="4" t="s">
        <v>57</v>
      </c>
      <c r="C26" s="6" t="s">
        <v>59</v>
      </c>
      <c r="D26" s="6" t="s">
        <v>60</v>
      </c>
      <c r="E26" s="3" t="s">
        <v>64</v>
      </c>
      <c r="F26" s="5">
        <v>45</v>
      </c>
      <c r="G26" s="5">
        <v>5</v>
      </c>
      <c r="H26" s="12">
        <v>8.3333333333333329E-2</v>
      </c>
      <c r="I26" s="5" t="s">
        <v>61</v>
      </c>
    </row>
    <row r="27" spans="1:9" ht="281.25" x14ac:dyDescent="0.25">
      <c r="A27" s="8" t="s">
        <v>1</v>
      </c>
      <c r="B27" s="4" t="s">
        <v>57</v>
      </c>
      <c r="C27" s="6" t="s">
        <v>59</v>
      </c>
      <c r="D27" s="6" t="s">
        <v>63</v>
      </c>
      <c r="E27" s="3" t="s">
        <v>62</v>
      </c>
      <c r="F27" s="5">
        <v>60</v>
      </c>
      <c r="G27" s="9">
        <v>6.666666666666667</v>
      </c>
      <c r="H27" s="10">
        <v>0.11111111111111112</v>
      </c>
      <c r="I27" s="5" t="s">
        <v>15</v>
      </c>
    </row>
    <row r="28" spans="1:9" ht="230.25" x14ac:dyDescent="0.25">
      <c r="A28" s="8" t="s">
        <v>1</v>
      </c>
      <c r="B28" s="4" t="s">
        <v>57</v>
      </c>
      <c r="C28" s="6" t="s">
        <v>59</v>
      </c>
      <c r="D28" s="6" t="s">
        <v>66</v>
      </c>
      <c r="E28" s="3" t="s">
        <v>65</v>
      </c>
      <c r="F28" s="5">
        <v>40</v>
      </c>
      <c r="G28" s="9">
        <v>4.4444444444444446</v>
      </c>
      <c r="H28" s="9">
        <v>7.4074074074074084E-2</v>
      </c>
      <c r="I28" s="5" t="s">
        <v>67</v>
      </c>
    </row>
    <row r="29" spans="1:9" ht="281.25" x14ac:dyDescent="0.25">
      <c r="A29" s="8" t="s">
        <v>1</v>
      </c>
      <c r="B29" s="4" t="s">
        <v>57</v>
      </c>
      <c r="C29" s="6" t="s">
        <v>59</v>
      </c>
      <c r="D29" s="7" t="s">
        <v>69</v>
      </c>
      <c r="E29" s="3" t="s">
        <v>68</v>
      </c>
      <c r="F29" s="5">
        <v>120</v>
      </c>
      <c r="G29" s="9">
        <v>13.333333333333334</v>
      </c>
      <c r="H29" s="9">
        <v>0.22222222222222224</v>
      </c>
      <c r="I29" s="5" t="s">
        <v>10</v>
      </c>
    </row>
    <row r="30" spans="1:9" ht="230.25" x14ac:dyDescent="0.25">
      <c r="A30" s="8" t="s">
        <v>1</v>
      </c>
      <c r="B30" s="4" t="s">
        <v>57</v>
      </c>
      <c r="C30" s="6" t="s">
        <v>59</v>
      </c>
      <c r="D30" s="7" t="s">
        <v>71</v>
      </c>
      <c r="E30" s="3" t="s">
        <v>70</v>
      </c>
      <c r="F30" s="5">
        <v>15</v>
      </c>
      <c r="G30" s="9">
        <v>1.6666666666666667</v>
      </c>
      <c r="H30" s="9">
        <v>2.777777777777778E-2</v>
      </c>
      <c r="I30" s="5" t="s">
        <v>73</v>
      </c>
    </row>
    <row r="31" spans="1:9" ht="204.75" x14ac:dyDescent="0.25">
      <c r="A31" s="8" t="s">
        <v>1</v>
      </c>
      <c r="B31" s="4" t="s">
        <v>57</v>
      </c>
      <c r="C31" s="6" t="s">
        <v>59</v>
      </c>
      <c r="D31" s="6" t="s">
        <v>74</v>
      </c>
      <c r="E31" s="3" t="s">
        <v>72</v>
      </c>
      <c r="F31" s="5">
        <v>625</v>
      </c>
      <c r="G31" s="9">
        <v>69.444444444444443</v>
      </c>
      <c r="H31" s="9">
        <v>1.1574074074074074</v>
      </c>
      <c r="I31" s="5" t="s">
        <v>10</v>
      </c>
    </row>
    <row r="32" spans="1:9" ht="204.75" x14ac:dyDescent="0.25">
      <c r="A32" s="8" t="s">
        <v>1</v>
      </c>
      <c r="B32" s="4" t="s">
        <v>57</v>
      </c>
      <c r="C32" s="6" t="s">
        <v>59</v>
      </c>
      <c r="D32" s="6" t="s">
        <v>75</v>
      </c>
      <c r="E32" s="3" t="s">
        <v>72</v>
      </c>
      <c r="F32" s="5">
        <v>759</v>
      </c>
      <c r="G32" s="9">
        <v>84.333333333333329</v>
      </c>
      <c r="H32" s="9">
        <v>1.4055555555555554</v>
      </c>
      <c r="I32" s="5" t="s">
        <v>10</v>
      </c>
    </row>
    <row r="33" spans="1:9" ht="128.25" x14ac:dyDescent="0.25">
      <c r="A33" s="8" t="s">
        <v>1</v>
      </c>
      <c r="B33" s="4" t="s">
        <v>57</v>
      </c>
      <c r="C33" s="6" t="s">
        <v>59</v>
      </c>
      <c r="D33" s="6" t="s">
        <v>77</v>
      </c>
      <c r="E33" s="3" t="s">
        <v>76</v>
      </c>
      <c r="F33" s="5">
        <v>11164</v>
      </c>
      <c r="G33" s="10">
        <v>1240.44444444444</v>
      </c>
      <c r="H33" s="10">
        <v>20.674074074074099</v>
      </c>
      <c r="I33" s="5" t="s">
        <v>10</v>
      </c>
    </row>
    <row r="34" spans="1:9" ht="90" x14ac:dyDescent="0.25">
      <c r="A34" s="8" t="s">
        <v>1</v>
      </c>
      <c r="B34" s="4" t="s">
        <v>57</v>
      </c>
      <c r="C34" s="6" t="s">
        <v>59</v>
      </c>
      <c r="D34" s="6" t="s">
        <v>78</v>
      </c>
      <c r="E34" s="3" t="s">
        <v>79</v>
      </c>
      <c r="F34" s="5">
        <v>18</v>
      </c>
      <c r="G34" s="5">
        <v>2</v>
      </c>
      <c r="H34" s="9">
        <v>3.3333333333333333E-2</v>
      </c>
      <c r="I34" s="5" t="s">
        <v>41</v>
      </c>
    </row>
    <row r="35" spans="1:9" ht="39" x14ac:dyDescent="0.25">
      <c r="A35" s="8" t="s">
        <v>1</v>
      </c>
      <c r="B35" s="4" t="s">
        <v>57</v>
      </c>
      <c r="C35" s="6" t="s">
        <v>59</v>
      </c>
      <c r="D35" s="6" t="s">
        <v>81</v>
      </c>
      <c r="E35" s="3" t="s">
        <v>82</v>
      </c>
      <c r="F35" s="5">
        <v>101</v>
      </c>
      <c r="G35" s="9">
        <v>11.222222222222221</v>
      </c>
      <c r="H35" s="9">
        <v>0.18703703703703703</v>
      </c>
      <c r="I35" s="5" t="s">
        <v>80</v>
      </c>
    </row>
    <row r="36" spans="1:9" ht="102.75" x14ac:dyDescent="0.25">
      <c r="A36" s="8" t="s">
        <v>1</v>
      </c>
      <c r="B36" s="4" t="s">
        <v>57</v>
      </c>
      <c r="C36" s="6" t="s">
        <v>59</v>
      </c>
      <c r="D36" s="6" t="s">
        <v>84</v>
      </c>
      <c r="E36" s="3" t="s">
        <v>83</v>
      </c>
      <c r="F36" s="5">
        <v>72</v>
      </c>
      <c r="G36" s="5">
        <v>8</v>
      </c>
      <c r="H36" s="9">
        <v>0.133333333333333</v>
      </c>
      <c r="I36" s="5" t="s">
        <v>80</v>
      </c>
    </row>
    <row r="37" spans="1:9" ht="102.75" x14ac:dyDescent="0.25">
      <c r="A37" s="8" t="s">
        <v>1</v>
      </c>
      <c r="B37" s="4" t="s">
        <v>57</v>
      </c>
      <c r="C37" s="6" t="s">
        <v>59</v>
      </c>
      <c r="D37" s="6" t="s">
        <v>86</v>
      </c>
      <c r="E37" s="3" t="s">
        <v>85</v>
      </c>
      <c r="F37" s="5">
        <v>72</v>
      </c>
      <c r="G37" s="5">
        <v>8</v>
      </c>
      <c r="H37" s="9">
        <v>0.13333333333333333</v>
      </c>
      <c r="I37" s="5" t="s">
        <v>80</v>
      </c>
    </row>
    <row r="38" spans="1:9" ht="64.5" x14ac:dyDescent="0.25">
      <c r="A38" s="8" t="s">
        <v>1</v>
      </c>
      <c r="B38" s="4" t="s">
        <v>57</v>
      </c>
      <c r="C38" s="6" t="s">
        <v>59</v>
      </c>
      <c r="D38" s="6" t="s">
        <v>88</v>
      </c>
      <c r="E38" s="3" t="s">
        <v>87</v>
      </c>
      <c r="F38" s="5">
        <v>145</v>
      </c>
      <c r="G38" s="10">
        <v>16.111111111111111</v>
      </c>
      <c r="H38" s="10">
        <v>0.26851851851851849</v>
      </c>
      <c r="I38" s="11" t="s">
        <v>89</v>
      </c>
    </row>
    <row r="39" spans="1:9" ht="77.25" x14ac:dyDescent="0.25">
      <c r="A39" s="8" t="s">
        <v>1</v>
      </c>
      <c r="B39" s="4" t="s">
        <v>57</v>
      </c>
      <c r="C39" s="6" t="s">
        <v>59</v>
      </c>
      <c r="D39" s="7" t="s">
        <v>91</v>
      </c>
      <c r="E39" s="3" t="s">
        <v>90</v>
      </c>
      <c r="F39" s="5">
        <v>90</v>
      </c>
      <c r="G39" s="5">
        <v>10</v>
      </c>
      <c r="H39" s="9">
        <v>0.16666666666666666</v>
      </c>
      <c r="I39" s="11" t="s">
        <v>89</v>
      </c>
    </row>
    <row r="40" spans="1:9" ht="102.75" x14ac:dyDescent="0.25">
      <c r="A40" s="8" t="s">
        <v>1</v>
      </c>
      <c r="B40" s="4" t="s">
        <v>57</v>
      </c>
      <c r="C40" s="6" t="s">
        <v>59</v>
      </c>
      <c r="D40" s="7" t="s">
        <v>93</v>
      </c>
      <c r="E40" s="3" t="s">
        <v>92</v>
      </c>
      <c r="F40" s="5">
        <v>600</v>
      </c>
      <c r="G40" s="10">
        <v>66.666666666666671</v>
      </c>
      <c r="H40" s="10">
        <v>1.1111111111111112</v>
      </c>
      <c r="I40" s="5" t="s">
        <v>41</v>
      </c>
    </row>
    <row r="41" spans="1:9" ht="77.25" x14ac:dyDescent="0.25">
      <c r="A41" s="8" t="s">
        <v>1</v>
      </c>
      <c r="B41" s="4" t="s">
        <v>57</v>
      </c>
      <c r="C41" s="6" t="s">
        <v>59</v>
      </c>
      <c r="D41" s="7" t="s">
        <v>96</v>
      </c>
      <c r="E41" s="3" t="s">
        <v>97</v>
      </c>
      <c r="F41" s="5">
        <v>806</v>
      </c>
      <c r="G41" s="10">
        <v>89.555555555555557</v>
      </c>
      <c r="H41" s="10">
        <v>1.4925925925925927</v>
      </c>
      <c r="I41" s="5" t="s">
        <v>41</v>
      </c>
    </row>
    <row r="42" spans="1:9" ht="115.5" x14ac:dyDescent="0.25">
      <c r="A42" s="8" t="s">
        <v>1</v>
      </c>
      <c r="B42" s="4" t="s">
        <v>57</v>
      </c>
      <c r="C42" s="6" t="s">
        <v>59</v>
      </c>
      <c r="D42" s="6" t="s">
        <v>94</v>
      </c>
      <c r="E42" s="3" t="s">
        <v>95</v>
      </c>
      <c r="F42" s="5">
        <v>500</v>
      </c>
      <c r="G42" s="13">
        <v>55.555555555555557</v>
      </c>
      <c r="H42" s="13">
        <v>0.92592592592592593</v>
      </c>
      <c r="I42" s="5" t="s">
        <v>41</v>
      </c>
    </row>
    <row r="43" spans="1:9" ht="141" x14ac:dyDescent="0.25">
      <c r="A43" s="8" t="s">
        <v>1</v>
      </c>
      <c r="B43" s="4" t="s">
        <v>57</v>
      </c>
      <c r="C43" s="6" t="s">
        <v>98</v>
      </c>
      <c r="D43" s="7" t="s">
        <v>100</v>
      </c>
      <c r="E43" s="3" t="s">
        <v>99</v>
      </c>
      <c r="F43" s="5">
        <v>50</v>
      </c>
      <c r="G43" s="9">
        <v>5.5555555555555554</v>
      </c>
      <c r="H43" s="9">
        <v>9.2592592592592587E-2</v>
      </c>
      <c r="I43" s="5" t="s">
        <v>101</v>
      </c>
    </row>
    <row r="44" spans="1:9" ht="141" x14ac:dyDescent="0.25">
      <c r="A44" s="8" t="s">
        <v>1</v>
      </c>
      <c r="B44" s="4" t="s">
        <v>57</v>
      </c>
      <c r="C44" s="6" t="s">
        <v>98</v>
      </c>
      <c r="D44" s="6" t="s">
        <v>102</v>
      </c>
      <c r="E44" s="3" t="s">
        <v>103</v>
      </c>
      <c r="F44" s="5">
        <v>40</v>
      </c>
      <c r="G44" s="9">
        <v>4.4444444444444446</v>
      </c>
      <c r="H44" s="9">
        <v>7.4074074074074084E-2</v>
      </c>
      <c r="I44" s="5" t="s">
        <v>105</v>
      </c>
    </row>
    <row r="45" spans="1:9" ht="102.75" x14ac:dyDescent="0.25">
      <c r="A45" s="8" t="s">
        <v>1</v>
      </c>
      <c r="B45" s="4" t="s">
        <v>57</v>
      </c>
      <c r="C45" s="6" t="s">
        <v>98</v>
      </c>
      <c r="D45" s="6" t="s">
        <v>88</v>
      </c>
      <c r="E45" s="3" t="s">
        <v>104</v>
      </c>
      <c r="F45" s="5">
        <v>60</v>
      </c>
      <c r="G45" s="9">
        <v>6.666666666666667</v>
      </c>
      <c r="H45" s="9">
        <v>0.11111111111111112</v>
      </c>
      <c r="I45" s="5" t="s">
        <v>105</v>
      </c>
    </row>
    <row r="46" spans="1:9" ht="51.75" x14ac:dyDescent="0.25">
      <c r="A46" s="8" t="s">
        <v>1</v>
      </c>
      <c r="B46" s="4" t="s">
        <v>57</v>
      </c>
      <c r="C46" s="6" t="s">
        <v>98</v>
      </c>
      <c r="D46" s="6" t="s">
        <v>107</v>
      </c>
      <c r="E46" s="3" t="s">
        <v>106</v>
      </c>
      <c r="F46" s="5">
        <v>630</v>
      </c>
      <c r="G46" s="5">
        <v>70</v>
      </c>
      <c r="H46" s="9">
        <v>1.1666666666666667</v>
      </c>
      <c r="I46" s="5" t="s">
        <v>105</v>
      </c>
    </row>
    <row r="47" spans="1:9" ht="64.5" x14ac:dyDescent="0.25">
      <c r="A47" s="8" t="s">
        <v>1</v>
      </c>
      <c r="B47" s="4" t="s">
        <v>57</v>
      </c>
      <c r="C47" s="6" t="s">
        <v>98</v>
      </c>
      <c r="D47" s="7" t="s">
        <v>108</v>
      </c>
      <c r="E47" s="3" t="s">
        <v>109</v>
      </c>
      <c r="F47" s="5">
        <v>60</v>
      </c>
      <c r="G47" s="9">
        <v>6.666666666666667</v>
      </c>
      <c r="H47" s="9">
        <v>0.11111111111111112</v>
      </c>
      <c r="I47" s="5" t="s">
        <v>105</v>
      </c>
    </row>
    <row r="48" spans="1:9" ht="39" x14ac:dyDescent="0.25">
      <c r="A48" s="8" t="s">
        <v>1</v>
      </c>
      <c r="B48" s="4" t="s">
        <v>57</v>
      </c>
      <c r="C48" s="6" t="s">
        <v>98</v>
      </c>
      <c r="D48" s="6" t="s">
        <v>111</v>
      </c>
      <c r="E48" s="3" t="s">
        <v>110</v>
      </c>
      <c r="F48" s="5">
        <v>1800</v>
      </c>
      <c r="G48" s="5">
        <v>200</v>
      </c>
      <c r="H48" s="9">
        <v>3.3333333333333335</v>
      </c>
      <c r="I48" s="5" t="s">
        <v>13</v>
      </c>
    </row>
    <row r="49" spans="1:9" ht="51.75" x14ac:dyDescent="0.25">
      <c r="A49" s="8" t="s">
        <v>1</v>
      </c>
      <c r="B49" s="4" t="s">
        <v>57</v>
      </c>
      <c r="C49" s="6" t="s">
        <v>98</v>
      </c>
      <c r="D49" s="6" t="s">
        <v>113</v>
      </c>
      <c r="E49" s="3" t="s">
        <v>112</v>
      </c>
      <c r="F49" s="5">
        <v>500</v>
      </c>
      <c r="G49" s="10">
        <v>55.555555555555557</v>
      </c>
      <c r="H49" s="9">
        <v>0.92592592592592593</v>
      </c>
      <c r="I49" s="5" t="s">
        <v>105</v>
      </c>
    </row>
    <row r="50" spans="1:9" ht="64.5" x14ac:dyDescent="0.25">
      <c r="A50" s="8" t="s">
        <v>1</v>
      </c>
      <c r="B50" s="4" t="s">
        <v>57</v>
      </c>
      <c r="C50" s="6" t="s">
        <v>98</v>
      </c>
      <c r="D50" s="6" t="s">
        <v>114</v>
      </c>
      <c r="E50" s="3" t="s">
        <v>115</v>
      </c>
      <c r="F50" s="5">
        <v>1836</v>
      </c>
      <c r="G50" s="5">
        <v>204</v>
      </c>
      <c r="H50" s="5">
        <v>3.4</v>
      </c>
      <c r="I50" s="5" t="s">
        <v>13</v>
      </c>
    </row>
    <row r="51" spans="1:9" ht="102.75" x14ac:dyDescent="0.25">
      <c r="A51" s="8" t="s">
        <v>1</v>
      </c>
      <c r="B51" s="4" t="s">
        <v>57</v>
      </c>
      <c r="C51" s="6" t="s">
        <v>98</v>
      </c>
      <c r="D51" s="6" t="s">
        <v>77</v>
      </c>
      <c r="E51" s="3" t="s">
        <v>116</v>
      </c>
      <c r="F51" s="5">
        <v>600</v>
      </c>
      <c r="G51" s="9">
        <v>66.666666666666671</v>
      </c>
      <c r="H51" s="9">
        <v>1.1111111111111112</v>
      </c>
      <c r="I51" s="5" t="s">
        <v>105</v>
      </c>
    </row>
    <row r="52" spans="1:9" ht="64.5" x14ac:dyDescent="0.25">
      <c r="A52" s="8" t="s">
        <v>1</v>
      </c>
      <c r="B52" s="4" t="s">
        <v>57</v>
      </c>
      <c r="C52" s="6" t="s">
        <v>98</v>
      </c>
      <c r="D52" s="6" t="s">
        <v>117</v>
      </c>
      <c r="E52" s="3" t="s">
        <v>118</v>
      </c>
      <c r="F52" s="5">
        <v>2430</v>
      </c>
      <c r="G52" s="5">
        <v>270</v>
      </c>
      <c r="H52" s="5">
        <v>4.5</v>
      </c>
      <c r="I52" s="5" t="s">
        <v>13</v>
      </c>
    </row>
    <row r="53" spans="1:9" ht="77.25" x14ac:dyDescent="0.25">
      <c r="A53" s="8" t="s">
        <v>1</v>
      </c>
      <c r="B53" s="4" t="s">
        <v>57</v>
      </c>
      <c r="C53" s="6" t="s">
        <v>98</v>
      </c>
      <c r="D53" s="6" t="s">
        <v>120</v>
      </c>
      <c r="E53" s="3" t="s">
        <v>119</v>
      </c>
      <c r="F53" s="5">
        <v>7344</v>
      </c>
      <c r="G53" s="5">
        <v>816</v>
      </c>
      <c r="H53" s="5">
        <v>13.6</v>
      </c>
      <c r="I53" s="5" t="s">
        <v>121</v>
      </c>
    </row>
    <row r="54" spans="1:9" ht="64.5" x14ac:dyDescent="0.25">
      <c r="A54" s="8" t="s">
        <v>1</v>
      </c>
      <c r="B54" s="4" t="s">
        <v>57</v>
      </c>
      <c r="C54" s="6" t="s">
        <v>98</v>
      </c>
      <c r="D54" s="6" t="s">
        <v>122</v>
      </c>
      <c r="E54" s="3" t="s">
        <v>127</v>
      </c>
      <c r="F54" s="5">
        <v>7610</v>
      </c>
      <c r="G54" s="10">
        <v>845.55555555555554</v>
      </c>
      <c r="H54" s="9">
        <v>14.092592592592592</v>
      </c>
      <c r="I54" s="5" t="s">
        <v>121</v>
      </c>
    </row>
    <row r="55" spans="1:9" ht="90" x14ac:dyDescent="0.25">
      <c r="A55" s="8" t="s">
        <v>1</v>
      </c>
      <c r="B55" s="4" t="s">
        <v>57</v>
      </c>
      <c r="C55" s="6" t="s">
        <v>98</v>
      </c>
      <c r="D55" s="6" t="s">
        <v>124</v>
      </c>
      <c r="E55" s="3" t="s">
        <v>123</v>
      </c>
      <c r="F55" s="5">
        <v>1600</v>
      </c>
      <c r="G55" s="13">
        <v>177.77777777777777</v>
      </c>
      <c r="H55" s="9">
        <v>2.9629629629629628</v>
      </c>
      <c r="I55" s="5" t="s">
        <v>121</v>
      </c>
    </row>
    <row r="56" spans="1:9" ht="90" x14ac:dyDescent="0.25">
      <c r="A56" s="8" t="s">
        <v>1</v>
      </c>
      <c r="B56" s="4" t="s">
        <v>57</v>
      </c>
      <c r="C56" s="6" t="s">
        <v>98</v>
      </c>
      <c r="D56" s="6" t="s">
        <v>126</v>
      </c>
      <c r="E56" s="3" t="s">
        <v>125</v>
      </c>
      <c r="F56" s="5">
        <v>90</v>
      </c>
      <c r="G56" s="5">
        <v>10</v>
      </c>
      <c r="H56" s="9">
        <v>0.16666666666666666</v>
      </c>
      <c r="I56" s="5" t="s">
        <v>121</v>
      </c>
    </row>
    <row r="57" spans="1:9" ht="39" x14ac:dyDescent="0.25">
      <c r="A57" s="8" t="s">
        <v>1</v>
      </c>
      <c r="B57" s="4" t="s">
        <v>57</v>
      </c>
      <c r="C57" s="6" t="s">
        <v>98</v>
      </c>
      <c r="D57" s="6" t="s">
        <v>128</v>
      </c>
      <c r="E57" s="3" t="s">
        <v>130</v>
      </c>
      <c r="F57" s="5">
        <v>6903</v>
      </c>
      <c r="G57" s="5">
        <v>767</v>
      </c>
      <c r="H57" s="10">
        <v>12.783333333333333</v>
      </c>
      <c r="I57" s="5" t="s">
        <v>15</v>
      </c>
    </row>
    <row r="58" spans="1:9" ht="51.75" x14ac:dyDescent="0.25">
      <c r="A58" s="8" t="s">
        <v>1</v>
      </c>
      <c r="B58" s="4" t="s">
        <v>57</v>
      </c>
      <c r="C58" s="6" t="s">
        <v>98</v>
      </c>
      <c r="D58" s="6" t="s">
        <v>129</v>
      </c>
      <c r="E58" s="3" t="s">
        <v>131</v>
      </c>
      <c r="F58" s="5">
        <v>4000</v>
      </c>
      <c r="G58" s="10">
        <v>444.44444444444446</v>
      </c>
      <c r="H58" s="9">
        <v>7.4074074074074101</v>
      </c>
      <c r="I58" s="5" t="s">
        <v>15</v>
      </c>
    </row>
    <row r="59" spans="1:9" ht="64.5" x14ac:dyDescent="0.25">
      <c r="A59" s="8" t="s">
        <v>1</v>
      </c>
      <c r="B59" s="4" t="s">
        <v>57</v>
      </c>
      <c r="C59" s="6" t="s">
        <v>98</v>
      </c>
      <c r="D59" s="6" t="s">
        <v>134</v>
      </c>
      <c r="E59" s="3" t="s">
        <v>133</v>
      </c>
      <c r="F59" s="5">
        <v>2196</v>
      </c>
      <c r="G59" s="5">
        <v>244</v>
      </c>
      <c r="H59" s="10">
        <v>4.0666666666666664</v>
      </c>
      <c r="I59" s="5" t="s">
        <v>121</v>
      </c>
    </row>
    <row r="60" spans="1:9" ht="294" x14ac:dyDescent="0.25">
      <c r="A60" s="8" t="s">
        <v>1</v>
      </c>
      <c r="B60" s="4" t="s">
        <v>57</v>
      </c>
      <c r="C60" s="6" t="s">
        <v>98</v>
      </c>
      <c r="D60" s="6" t="s">
        <v>136</v>
      </c>
      <c r="E60" s="3" t="s">
        <v>135</v>
      </c>
      <c r="F60" s="5">
        <v>5589</v>
      </c>
      <c r="G60" s="5">
        <v>621</v>
      </c>
      <c r="H60" s="5">
        <v>10.35</v>
      </c>
      <c r="I60" s="5" t="s">
        <v>137</v>
      </c>
    </row>
    <row r="61" spans="1:9" ht="115.5" x14ac:dyDescent="0.25">
      <c r="A61" s="8" t="s">
        <v>1</v>
      </c>
      <c r="B61" s="4" t="s">
        <v>57</v>
      </c>
      <c r="C61" s="6" t="s">
        <v>98</v>
      </c>
      <c r="D61" s="6" t="s">
        <v>96</v>
      </c>
      <c r="E61" s="3" t="s">
        <v>138</v>
      </c>
      <c r="F61" s="5">
        <v>150</v>
      </c>
      <c r="G61" s="9">
        <v>16.666666666666668</v>
      </c>
      <c r="H61" s="9">
        <v>0.27777777777777779</v>
      </c>
      <c r="I61" s="5" t="s">
        <v>41</v>
      </c>
    </row>
    <row r="62" spans="1:9" ht="77.25" hidden="1" x14ac:dyDescent="0.25">
      <c r="A62" s="8" t="s">
        <v>1</v>
      </c>
      <c r="B62" s="4" t="s">
        <v>57</v>
      </c>
      <c r="C62" s="6" t="s">
        <v>139</v>
      </c>
      <c r="D62" s="6" t="s">
        <v>140</v>
      </c>
      <c r="E62" s="3" t="s">
        <v>142</v>
      </c>
      <c r="F62" s="5">
        <v>160</v>
      </c>
      <c r="G62" s="10">
        <v>17.777777777777779</v>
      </c>
      <c r="H62" s="9">
        <v>0.29629629629629634</v>
      </c>
      <c r="I62" s="5" t="s">
        <v>141</v>
      </c>
    </row>
    <row r="63" spans="1:9" ht="64.5" hidden="1" x14ac:dyDescent="0.25">
      <c r="A63" s="8" t="s">
        <v>1</v>
      </c>
      <c r="B63" s="4" t="s">
        <v>57</v>
      </c>
      <c r="C63" s="6" t="s">
        <v>139</v>
      </c>
      <c r="D63" s="6" t="s">
        <v>144</v>
      </c>
      <c r="E63" s="3" t="s">
        <v>143</v>
      </c>
      <c r="F63" s="5">
        <v>2900</v>
      </c>
      <c r="G63" s="9">
        <v>322.22222222222223</v>
      </c>
      <c r="H63" s="5">
        <v>5</v>
      </c>
      <c r="I63" s="5" t="s">
        <v>67</v>
      </c>
    </row>
    <row r="64" spans="1:9" ht="77.25" hidden="1" x14ac:dyDescent="0.25">
      <c r="A64" s="8" t="s">
        <v>1</v>
      </c>
      <c r="B64" s="4" t="s">
        <v>57</v>
      </c>
      <c r="C64" s="6" t="s">
        <v>139</v>
      </c>
      <c r="D64" s="6" t="s">
        <v>145</v>
      </c>
      <c r="E64" s="3" t="s">
        <v>147</v>
      </c>
      <c r="F64" s="5">
        <v>470</v>
      </c>
      <c r="G64" s="13">
        <v>52.222222222222221</v>
      </c>
      <c r="H64" s="9">
        <v>0.87037037037037035</v>
      </c>
      <c r="I64" s="5" t="s">
        <v>15</v>
      </c>
    </row>
    <row r="65" spans="1:9" ht="115.5" hidden="1" x14ac:dyDescent="0.25">
      <c r="A65" s="8" t="s">
        <v>1</v>
      </c>
      <c r="B65" s="4" t="s">
        <v>57</v>
      </c>
      <c r="C65" s="6" t="s">
        <v>139</v>
      </c>
      <c r="D65" s="6" t="s">
        <v>148</v>
      </c>
      <c r="E65" s="3" t="s">
        <v>146</v>
      </c>
      <c r="F65" s="5">
        <v>80</v>
      </c>
      <c r="G65" s="9">
        <v>8.8888888888888893</v>
      </c>
      <c r="H65" s="9">
        <v>0.14814814814814817</v>
      </c>
      <c r="I65" s="5" t="s">
        <v>105</v>
      </c>
    </row>
    <row r="66" spans="1:9" ht="128.25" hidden="1" x14ac:dyDescent="0.25">
      <c r="A66" s="8" t="s">
        <v>1</v>
      </c>
      <c r="B66" s="4" t="s">
        <v>57</v>
      </c>
      <c r="C66" s="6" t="s">
        <v>139</v>
      </c>
      <c r="D66" s="6" t="s">
        <v>149</v>
      </c>
      <c r="E66" s="3" t="s">
        <v>150</v>
      </c>
      <c r="F66" s="5">
        <v>18</v>
      </c>
      <c r="G66" s="5">
        <v>2</v>
      </c>
      <c r="H66" s="9">
        <v>3.3333333333333333E-2</v>
      </c>
      <c r="I66" s="5" t="s">
        <v>105</v>
      </c>
    </row>
    <row r="67" spans="1:9" ht="153.75" hidden="1" x14ac:dyDescent="0.25">
      <c r="A67" s="8" t="s">
        <v>1</v>
      </c>
      <c r="B67" s="4" t="s">
        <v>57</v>
      </c>
      <c r="C67" s="6" t="s">
        <v>139</v>
      </c>
      <c r="D67" s="6" t="s">
        <v>88</v>
      </c>
      <c r="E67" s="3" t="s">
        <v>151</v>
      </c>
      <c r="F67" s="14">
        <v>100</v>
      </c>
      <c r="G67" s="16">
        <f t="shared" ref="G67" si="0">+F67/9</f>
        <v>11.111111111111111</v>
      </c>
      <c r="H67" s="16">
        <f t="shared" ref="H67" si="1">+G67/60</f>
        <v>0.18518518518518517</v>
      </c>
      <c r="I67" s="5" t="s">
        <v>105</v>
      </c>
    </row>
    <row r="68" spans="1:9" ht="64.5" hidden="1" x14ac:dyDescent="0.25">
      <c r="A68" s="8" t="s">
        <v>1</v>
      </c>
      <c r="B68" s="4" t="s">
        <v>57</v>
      </c>
      <c r="C68" s="6" t="s">
        <v>139</v>
      </c>
      <c r="D68" s="7" t="s">
        <v>153</v>
      </c>
      <c r="E68" s="3" t="s">
        <v>152</v>
      </c>
      <c r="F68" s="5">
        <v>650</v>
      </c>
      <c r="G68" s="13">
        <v>72.222222222222229</v>
      </c>
      <c r="H68" s="13">
        <v>1.2037037037037037</v>
      </c>
      <c r="I68" s="5" t="s">
        <v>154</v>
      </c>
    </row>
    <row r="69" spans="1:9" ht="115.5" hidden="1" x14ac:dyDescent="0.25">
      <c r="A69" s="8" t="s">
        <v>1</v>
      </c>
      <c r="B69" s="4" t="s">
        <v>57</v>
      </c>
      <c r="C69" s="6" t="s">
        <v>139</v>
      </c>
      <c r="D69" s="6" t="s">
        <v>156</v>
      </c>
      <c r="E69" s="3" t="s">
        <v>155</v>
      </c>
      <c r="F69" s="5">
        <v>400</v>
      </c>
      <c r="G69" s="10">
        <v>44.444444444444443</v>
      </c>
      <c r="H69" s="10">
        <v>0.7407407407407407</v>
      </c>
      <c r="I69" s="5" t="s">
        <v>13</v>
      </c>
    </row>
    <row r="70" spans="1:9" ht="230.25" hidden="1" x14ac:dyDescent="0.25">
      <c r="A70" s="8" t="s">
        <v>1</v>
      </c>
      <c r="B70" s="4" t="s">
        <v>57</v>
      </c>
      <c r="C70" s="6" t="s">
        <v>139</v>
      </c>
      <c r="D70" s="6" t="s">
        <v>157</v>
      </c>
      <c r="E70" s="3" t="s">
        <v>158</v>
      </c>
      <c r="F70" s="5">
        <v>36</v>
      </c>
      <c r="G70" s="5">
        <v>4</v>
      </c>
      <c r="H70" s="9">
        <v>6.6666666666666666E-2</v>
      </c>
      <c r="I70" s="5" t="s">
        <v>13</v>
      </c>
    </row>
    <row r="71" spans="1:9" ht="90" hidden="1" x14ac:dyDescent="0.25">
      <c r="A71" s="8" t="s">
        <v>1</v>
      </c>
      <c r="B71" s="4" t="s">
        <v>57</v>
      </c>
      <c r="C71" s="6" t="s">
        <v>139</v>
      </c>
      <c r="D71" s="6" t="s">
        <v>46</v>
      </c>
      <c r="E71" s="3" t="s">
        <v>159</v>
      </c>
      <c r="F71" s="5">
        <v>330</v>
      </c>
      <c r="G71" s="10">
        <v>36.666666666666664</v>
      </c>
      <c r="H71" s="10">
        <v>0.61111111111111105</v>
      </c>
      <c r="I71" s="5" t="s">
        <v>13</v>
      </c>
    </row>
    <row r="72" spans="1:9" ht="90" hidden="1" x14ac:dyDescent="0.25">
      <c r="A72" s="8" t="s">
        <v>1</v>
      </c>
      <c r="B72" s="4" t="s">
        <v>57</v>
      </c>
      <c r="C72" s="6" t="s">
        <v>139</v>
      </c>
      <c r="D72" s="6" t="s">
        <v>19</v>
      </c>
      <c r="E72" s="3" t="s">
        <v>160</v>
      </c>
      <c r="F72" s="5">
        <v>330</v>
      </c>
      <c r="G72" s="10">
        <v>36.666666666666664</v>
      </c>
      <c r="H72" s="10">
        <v>0.61111111111111105</v>
      </c>
      <c r="I72" s="5" t="s">
        <v>13</v>
      </c>
    </row>
    <row r="73" spans="1:9" ht="141" hidden="1" x14ac:dyDescent="0.25">
      <c r="A73" s="8" t="s">
        <v>1</v>
      </c>
      <c r="B73" s="4" t="s">
        <v>57</v>
      </c>
      <c r="C73" s="6" t="s">
        <v>139</v>
      </c>
      <c r="D73" s="6" t="s">
        <v>26</v>
      </c>
      <c r="E73" s="3" t="s">
        <v>161</v>
      </c>
      <c r="F73" s="5">
        <v>330</v>
      </c>
      <c r="G73" s="10">
        <v>36.666666666666664</v>
      </c>
      <c r="H73" s="10">
        <v>0.61111111111111105</v>
      </c>
      <c r="I73" s="5" t="s">
        <v>13</v>
      </c>
    </row>
    <row r="74" spans="1:9" ht="102.75" hidden="1" x14ac:dyDescent="0.25">
      <c r="A74" s="8" t="s">
        <v>1</v>
      </c>
      <c r="B74" s="4" t="s">
        <v>57</v>
      </c>
      <c r="C74" s="6" t="s">
        <v>139</v>
      </c>
      <c r="D74" s="6" t="s">
        <v>164</v>
      </c>
      <c r="E74" s="3" t="s">
        <v>163</v>
      </c>
      <c r="F74" s="5">
        <v>330</v>
      </c>
      <c r="G74" s="10">
        <v>36.666666666666664</v>
      </c>
      <c r="H74" s="10">
        <v>0.61111111111111105</v>
      </c>
      <c r="I74" s="5" t="s">
        <v>67</v>
      </c>
    </row>
    <row r="75" spans="1:9" ht="281.25" hidden="1" x14ac:dyDescent="0.25">
      <c r="A75" s="8" t="s">
        <v>1</v>
      </c>
      <c r="B75" s="4" t="s">
        <v>57</v>
      </c>
      <c r="C75" s="6" t="s">
        <v>166</v>
      </c>
      <c r="D75" s="6" t="s">
        <v>165</v>
      </c>
      <c r="E75" s="3" t="s">
        <v>169</v>
      </c>
      <c r="F75" s="5">
        <v>300</v>
      </c>
      <c r="G75" s="5">
        <v>37.5</v>
      </c>
      <c r="H75" s="9">
        <v>0.625</v>
      </c>
      <c r="I75" s="5" t="s">
        <v>15</v>
      </c>
    </row>
    <row r="76" spans="1:9" ht="255.75" hidden="1" x14ac:dyDescent="0.25">
      <c r="A76" s="8" t="s">
        <v>1</v>
      </c>
      <c r="B76" s="4" t="s">
        <v>57</v>
      </c>
      <c r="C76" s="6" t="s">
        <v>166</v>
      </c>
      <c r="D76" s="6" t="s">
        <v>167</v>
      </c>
      <c r="E76" s="3" t="s">
        <v>168</v>
      </c>
      <c r="F76" s="5">
        <v>190</v>
      </c>
      <c r="G76" s="5">
        <v>23.75</v>
      </c>
      <c r="H76" s="17">
        <v>0.39583333333333331</v>
      </c>
      <c r="I76" s="5" t="s">
        <v>13</v>
      </c>
    </row>
    <row r="77" spans="1:9" ht="166.5" hidden="1" x14ac:dyDescent="0.25">
      <c r="A77" s="8" t="s">
        <v>1</v>
      </c>
      <c r="B77" s="4" t="s">
        <v>57</v>
      </c>
      <c r="C77" s="6" t="s">
        <v>171</v>
      </c>
      <c r="D77" s="6" t="s">
        <v>170</v>
      </c>
      <c r="E77" s="3" t="s">
        <v>174</v>
      </c>
      <c r="F77" s="5">
        <v>2240</v>
      </c>
      <c r="G77" s="5">
        <v>280</v>
      </c>
      <c r="H77" s="9">
        <v>4.6666666666666696</v>
      </c>
      <c r="I77" s="5" t="s">
        <v>13</v>
      </c>
    </row>
    <row r="78" spans="1:9" ht="64.5" hidden="1" x14ac:dyDescent="0.25">
      <c r="A78" s="8" t="s">
        <v>1</v>
      </c>
      <c r="B78" s="4" t="s">
        <v>57</v>
      </c>
      <c r="C78" s="6" t="s">
        <v>171</v>
      </c>
      <c r="D78" s="6" t="s">
        <v>46</v>
      </c>
      <c r="E78" s="3" t="s">
        <v>175</v>
      </c>
      <c r="F78" s="5">
        <v>1600</v>
      </c>
      <c r="G78" s="5">
        <v>200</v>
      </c>
      <c r="H78" s="10">
        <v>3.3333333333333335</v>
      </c>
      <c r="I78" s="5" t="s">
        <v>13</v>
      </c>
    </row>
    <row r="79" spans="1:9" ht="77.25" hidden="1" x14ac:dyDescent="0.25">
      <c r="A79" s="8" t="s">
        <v>1</v>
      </c>
      <c r="B79" s="4" t="s">
        <v>57</v>
      </c>
      <c r="C79" s="6" t="s">
        <v>171</v>
      </c>
      <c r="D79" s="6" t="s">
        <v>26</v>
      </c>
      <c r="E79" s="3" t="s">
        <v>176</v>
      </c>
      <c r="F79" s="5">
        <v>560</v>
      </c>
      <c r="G79" s="5">
        <v>70</v>
      </c>
      <c r="H79" s="5">
        <v>1.1666666666666667</v>
      </c>
      <c r="I79" s="5" t="s">
        <v>13</v>
      </c>
    </row>
    <row r="80" spans="1:9" ht="102.75" hidden="1" x14ac:dyDescent="0.25">
      <c r="A80" s="8" t="s">
        <v>1</v>
      </c>
      <c r="B80" s="4" t="s">
        <v>57</v>
      </c>
      <c r="C80" s="6" t="s">
        <v>171</v>
      </c>
      <c r="D80" s="6" t="s">
        <v>172</v>
      </c>
      <c r="E80" s="3" t="s">
        <v>163</v>
      </c>
      <c r="F80" s="5">
        <v>64</v>
      </c>
      <c r="G80" s="5">
        <v>8</v>
      </c>
      <c r="H80" s="9">
        <v>0.13333333333333333</v>
      </c>
      <c r="I80" s="5" t="s">
        <v>13</v>
      </c>
    </row>
    <row r="81" spans="1:9" ht="102.75" hidden="1" x14ac:dyDescent="0.25">
      <c r="A81" s="8" t="s">
        <v>1</v>
      </c>
      <c r="B81" s="4" t="s">
        <v>57</v>
      </c>
      <c r="C81" s="6" t="s">
        <v>171</v>
      </c>
      <c r="D81" s="6" t="s">
        <v>173</v>
      </c>
      <c r="E81" s="3" t="s">
        <v>177</v>
      </c>
      <c r="F81" s="5">
        <v>56</v>
      </c>
      <c r="G81" s="5">
        <v>7</v>
      </c>
      <c r="H81" s="9">
        <v>0.11666666666666667</v>
      </c>
      <c r="I81" s="5" t="s">
        <v>13</v>
      </c>
    </row>
    <row r="82" spans="1:9" ht="77.25" hidden="1" x14ac:dyDescent="0.25">
      <c r="A82" s="8" t="s">
        <v>1</v>
      </c>
      <c r="B82" s="4" t="s">
        <v>57</v>
      </c>
      <c r="C82" s="6" t="s">
        <v>171</v>
      </c>
      <c r="D82" s="6" t="s">
        <v>77</v>
      </c>
      <c r="E82" s="3" t="s">
        <v>178</v>
      </c>
      <c r="F82" s="5">
        <v>450</v>
      </c>
      <c r="G82" s="10">
        <v>56.25</v>
      </c>
      <c r="H82" s="9">
        <v>0.9375</v>
      </c>
      <c r="I82" s="5" t="s">
        <v>13</v>
      </c>
    </row>
    <row r="83" spans="1:9" ht="39" hidden="1" x14ac:dyDescent="0.25">
      <c r="A83" s="8" t="s">
        <v>1</v>
      </c>
      <c r="B83" s="4" t="s">
        <v>57</v>
      </c>
      <c r="C83" s="6" t="s">
        <v>171</v>
      </c>
      <c r="D83" s="6" t="s">
        <v>11</v>
      </c>
      <c r="E83" s="3" t="s">
        <v>179</v>
      </c>
      <c r="F83" s="14">
        <v>2700</v>
      </c>
      <c r="G83" s="18">
        <v>337.5</v>
      </c>
      <c r="H83" s="15">
        <v>5.625</v>
      </c>
      <c r="I83" s="5" t="s">
        <v>13</v>
      </c>
    </row>
    <row r="84" spans="1:9" ht="38.25" hidden="1" x14ac:dyDescent="0.25">
      <c r="A84" s="8" t="s">
        <v>1</v>
      </c>
      <c r="B84" s="4" t="s">
        <v>57</v>
      </c>
      <c r="C84" s="27" t="s">
        <v>194</v>
      </c>
      <c r="D84" s="28" t="s">
        <v>222</v>
      </c>
      <c r="E84" s="24" t="s">
        <v>180</v>
      </c>
      <c r="F84" s="14">
        <f>+G84*9</f>
        <v>900</v>
      </c>
      <c r="G84" s="14">
        <v>100</v>
      </c>
      <c r="H84" s="19">
        <f>+G84/60</f>
        <v>1.6666666666666667</v>
      </c>
      <c r="I84" s="14" t="s">
        <v>215</v>
      </c>
    </row>
    <row r="85" spans="1:9" ht="57" hidden="1" customHeight="1" x14ac:dyDescent="0.25">
      <c r="A85" s="8" t="s">
        <v>1</v>
      </c>
      <c r="B85" s="4" t="s">
        <v>57</v>
      </c>
      <c r="C85" s="27" t="s">
        <v>194</v>
      </c>
      <c r="D85" s="28" t="s">
        <v>223</v>
      </c>
      <c r="E85" s="24" t="s">
        <v>181</v>
      </c>
      <c r="F85" s="14">
        <f t="shared" ref="F85:F117" si="2">+G85*9</f>
        <v>540</v>
      </c>
      <c r="G85" s="20">
        <v>60</v>
      </c>
      <c r="H85" s="19">
        <f t="shared" ref="H85:H106" si="3">+G85/60</f>
        <v>1</v>
      </c>
      <c r="I85" s="26" t="s">
        <v>216</v>
      </c>
    </row>
    <row r="86" spans="1:9" ht="25.5" hidden="1" x14ac:dyDescent="0.25">
      <c r="A86" s="8" t="s">
        <v>1</v>
      </c>
      <c r="B86" s="4" t="s">
        <v>57</v>
      </c>
      <c r="C86" s="27" t="s">
        <v>194</v>
      </c>
      <c r="D86" s="28" t="s">
        <v>224</v>
      </c>
      <c r="E86" s="25" t="s">
        <v>182</v>
      </c>
      <c r="F86" s="14">
        <f t="shared" si="2"/>
        <v>540</v>
      </c>
      <c r="G86" s="20">
        <v>60</v>
      </c>
      <c r="H86" s="19">
        <f t="shared" si="3"/>
        <v>1</v>
      </c>
      <c r="I86" s="14" t="s">
        <v>121</v>
      </c>
    </row>
    <row r="87" spans="1:9" ht="25.5" hidden="1" x14ac:dyDescent="0.25">
      <c r="A87" s="8" t="s">
        <v>1</v>
      </c>
      <c r="B87" s="4" t="s">
        <v>57</v>
      </c>
      <c r="C87" s="27" t="s">
        <v>194</v>
      </c>
      <c r="D87" s="28" t="s">
        <v>225</v>
      </c>
      <c r="E87" s="24" t="s">
        <v>183</v>
      </c>
      <c r="F87" s="14">
        <f t="shared" si="2"/>
        <v>495</v>
      </c>
      <c r="G87" s="20">
        <v>55</v>
      </c>
      <c r="H87" s="19">
        <f t="shared" si="3"/>
        <v>0.91666666666666663</v>
      </c>
      <c r="I87" s="14" t="s">
        <v>217</v>
      </c>
    </row>
    <row r="88" spans="1:9" ht="25.5" hidden="1" x14ac:dyDescent="0.25">
      <c r="A88" s="8" t="s">
        <v>1</v>
      </c>
      <c r="B88" s="4" t="s">
        <v>57</v>
      </c>
      <c r="C88" s="27" t="s">
        <v>194</v>
      </c>
      <c r="D88" s="28" t="s">
        <v>226</v>
      </c>
      <c r="E88" s="24" t="s">
        <v>184</v>
      </c>
      <c r="F88" s="14">
        <f t="shared" si="2"/>
        <v>360</v>
      </c>
      <c r="G88" s="20">
        <v>40</v>
      </c>
      <c r="H88" s="19">
        <f t="shared" si="3"/>
        <v>0.66666666666666663</v>
      </c>
      <c r="I88" s="14" t="s">
        <v>218</v>
      </c>
    </row>
    <row r="89" spans="1:9" ht="25.5" hidden="1" x14ac:dyDescent="0.25">
      <c r="A89" s="8" t="s">
        <v>1</v>
      </c>
      <c r="B89" s="4" t="s">
        <v>57</v>
      </c>
      <c r="C89" s="27" t="s">
        <v>194</v>
      </c>
      <c r="D89" s="28" t="s">
        <v>227</v>
      </c>
      <c r="E89" s="24" t="s">
        <v>185</v>
      </c>
      <c r="F89" s="14">
        <f t="shared" si="2"/>
        <v>180</v>
      </c>
      <c r="G89" s="20">
        <v>20</v>
      </c>
      <c r="H89" s="19">
        <f t="shared" si="3"/>
        <v>0.33333333333333331</v>
      </c>
      <c r="I89" s="14" t="s">
        <v>219</v>
      </c>
    </row>
    <row r="90" spans="1:9" ht="25.5" hidden="1" x14ac:dyDescent="0.25">
      <c r="A90" s="8" t="s">
        <v>1</v>
      </c>
      <c r="B90" s="4" t="s">
        <v>57</v>
      </c>
      <c r="C90" s="27" t="s">
        <v>194</v>
      </c>
      <c r="D90" s="28" t="s">
        <v>228</v>
      </c>
      <c r="E90" s="24" t="s">
        <v>186</v>
      </c>
      <c r="F90" s="14">
        <f t="shared" si="2"/>
        <v>1530</v>
      </c>
      <c r="G90" s="20">
        <v>170</v>
      </c>
      <c r="H90" s="19">
        <f t="shared" si="3"/>
        <v>2.8333333333333335</v>
      </c>
      <c r="I90" s="14" t="s">
        <v>15</v>
      </c>
    </row>
    <row r="91" spans="1:9" ht="25.5" hidden="1" x14ac:dyDescent="0.25">
      <c r="A91" s="8" t="s">
        <v>1</v>
      </c>
      <c r="B91" s="4" t="s">
        <v>57</v>
      </c>
      <c r="C91" s="27" t="s">
        <v>194</v>
      </c>
      <c r="D91" s="28" t="s">
        <v>229</v>
      </c>
      <c r="E91" s="24" t="s">
        <v>187</v>
      </c>
      <c r="F91" s="14">
        <f t="shared" si="2"/>
        <v>1800</v>
      </c>
      <c r="G91" s="20">
        <v>200</v>
      </c>
      <c r="H91" s="19">
        <f t="shared" si="3"/>
        <v>3.3333333333333335</v>
      </c>
      <c r="I91" s="14" t="s">
        <v>15</v>
      </c>
    </row>
    <row r="92" spans="1:9" ht="25.5" hidden="1" x14ac:dyDescent="0.25">
      <c r="A92" s="8" t="s">
        <v>1</v>
      </c>
      <c r="B92" s="4" t="s">
        <v>57</v>
      </c>
      <c r="C92" s="27" t="s">
        <v>194</v>
      </c>
      <c r="D92" s="28" t="s">
        <v>230</v>
      </c>
      <c r="E92" s="24" t="s">
        <v>188</v>
      </c>
      <c r="F92" s="14">
        <f t="shared" si="2"/>
        <v>540</v>
      </c>
      <c r="G92" s="20">
        <v>60</v>
      </c>
      <c r="H92" s="19">
        <f t="shared" si="3"/>
        <v>1</v>
      </c>
      <c r="I92" s="14" t="s">
        <v>10</v>
      </c>
    </row>
    <row r="93" spans="1:9" ht="25.5" hidden="1" x14ac:dyDescent="0.25">
      <c r="A93" s="8" t="s">
        <v>1</v>
      </c>
      <c r="B93" s="4" t="s">
        <v>57</v>
      </c>
      <c r="C93" s="27" t="s">
        <v>194</v>
      </c>
      <c r="D93" s="28" t="s">
        <v>231</v>
      </c>
      <c r="E93" s="24" t="s">
        <v>189</v>
      </c>
      <c r="F93" s="14">
        <f t="shared" si="2"/>
        <v>270</v>
      </c>
      <c r="G93" s="20">
        <v>30</v>
      </c>
      <c r="H93" s="19">
        <f t="shared" si="3"/>
        <v>0.5</v>
      </c>
      <c r="I93" s="14" t="s">
        <v>10</v>
      </c>
    </row>
    <row r="94" spans="1:9" ht="38.25" hidden="1" x14ac:dyDescent="0.25">
      <c r="A94" s="8" t="s">
        <v>1</v>
      </c>
      <c r="B94" s="4" t="s">
        <v>57</v>
      </c>
      <c r="C94" s="27" t="s">
        <v>194</v>
      </c>
      <c r="D94" s="28" t="s">
        <v>232</v>
      </c>
      <c r="E94" s="24" t="s">
        <v>190</v>
      </c>
      <c r="F94" s="14">
        <f t="shared" si="2"/>
        <v>360</v>
      </c>
      <c r="G94" s="20">
        <v>40</v>
      </c>
      <c r="H94" s="19">
        <f t="shared" si="3"/>
        <v>0.66666666666666663</v>
      </c>
      <c r="I94" s="14" t="s">
        <v>10</v>
      </c>
    </row>
    <row r="95" spans="1:9" ht="25.5" hidden="1" x14ac:dyDescent="0.25">
      <c r="A95" s="8" t="s">
        <v>1</v>
      </c>
      <c r="B95" s="4" t="s">
        <v>57</v>
      </c>
      <c r="C95" s="27" t="s">
        <v>194</v>
      </c>
      <c r="D95" s="28" t="s">
        <v>233</v>
      </c>
      <c r="E95" s="24" t="s">
        <v>191</v>
      </c>
      <c r="F95" s="14">
        <f t="shared" si="2"/>
        <v>270</v>
      </c>
      <c r="G95" s="21">
        <v>30</v>
      </c>
      <c r="H95" s="19">
        <f t="shared" si="3"/>
        <v>0.5</v>
      </c>
      <c r="I95" s="14" t="s">
        <v>10</v>
      </c>
    </row>
    <row r="96" spans="1:9" ht="25.5" hidden="1" x14ac:dyDescent="0.25">
      <c r="A96" s="8" t="s">
        <v>1</v>
      </c>
      <c r="B96" s="4" t="s">
        <v>57</v>
      </c>
      <c r="C96" s="27" t="s">
        <v>194</v>
      </c>
      <c r="D96" s="28" t="s">
        <v>234</v>
      </c>
      <c r="E96" s="24" t="s">
        <v>192</v>
      </c>
      <c r="F96" s="14">
        <f t="shared" si="2"/>
        <v>1620</v>
      </c>
      <c r="G96" s="21">
        <v>180</v>
      </c>
      <c r="H96" s="19">
        <f t="shared" si="3"/>
        <v>3</v>
      </c>
      <c r="I96" s="14" t="s">
        <v>10</v>
      </c>
    </row>
    <row r="97" spans="1:9" ht="38.25" hidden="1" x14ac:dyDescent="0.25">
      <c r="A97" s="8" t="s">
        <v>1</v>
      </c>
      <c r="B97" s="4" t="s">
        <v>57</v>
      </c>
      <c r="C97" s="27" t="s">
        <v>194</v>
      </c>
      <c r="D97" s="28" t="s">
        <v>235</v>
      </c>
      <c r="E97" s="24" t="s">
        <v>193</v>
      </c>
      <c r="F97" s="14">
        <f t="shared" si="2"/>
        <v>36</v>
      </c>
      <c r="G97" s="21">
        <v>4</v>
      </c>
      <c r="H97" s="19">
        <f t="shared" si="3"/>
        <v>6.6666666666666666E-2</v>
      </c>
      <c r="I97" s="14" t="s">
        <v>156</v>
      </c>
    </row>
    <row r="98" spans="1:9" ht="25.5" hidden="1" x14ac:dyDescent="0.25">
      <c r="A98" s="8" t="s">
        <v>1</v>
      </c>
      <c r="B98" s="4" t="s">
        <v>57</v>
      </c>
      <c r="C98" s="27" t="s">
        <v>194</v>
      </c>
      <c r="D98" s="28" t="s">
        <v>236</v>
      </c>
      <c r="E98" s="24" t="s">
        <v>195</v>
      </c>
      <c r="F98" s="14">
        <f t="shared" si="2"/>
        <v>1350</v>
      </c>
      <c r="G98" s="21">
        <v>150</v>
      </c>
      <c r="H98" s="19">
        <f t="shared" si="3"/>
        <v>2.5</v>
      </c>
      <c r="I98" s="14" t="s">
        <v>10</v>
      </c>
    </row>
    <row r="99" spans="1:9" ht="25.5" hidden="1" x14ac:dyDescent="0.25">
      <c r="A99" s="8" t="s">
        <v>1</v>
      </c>
      <c r="B99" s="4" t="s">
        <v>57</v>
      </c>
      <c r="C99" s="27" t="s">
        <v>194</v>
      </c>
      <c r="D99" s="28" t="s">
        <v>237</v>
      </c>
      <c r="E99" s="24" t="s">
        <v>196</v>
      </c>
      <c r="F99" s="14">
        <f t="shared" si="2"/>
        <v>540</v>
      </c>
      <c r="G99" s="21">
        <v>60</v>
      </c>
      <c r="H99" s="19">
        <f t="shared" si="3"/>
        <v>1</v>
      </c>
      <c r="I99" s="14" t="s">
        <v>10</v>
      </c>
    </row>
    <row r="100" spans="1:9" ht="25.5" hidden="1" x14ac:dyDescent="0.25">
      <c r="A100" s="8" t="s">
        <v>1</v>
      </c>
      <c r="B100" s="4" t="s">
        <v>57</v>
      </c>
      <c r="C100" s="27" t="s">
        <v>194</v>
      </c>
      <c r="D100" s="28" t="s">
        <v>238</v>
      </c>
      <c r="E100" s="24" t="s">
        <v>197</v>
      </c>
      <c r="F100" s="14">
        <f t="shared" si="2"/>
        <v>540</v>
      </c>
      <c r="G100" s="21">
        <v>60</v>
      </c>
      <c r="H100" s="19">
        <f t="shared" si="3"/>
        <v>1</v>
      </c>
      <c r="I100" s="14" t="s">
        <v>10</v>
      </c>
    </row>
    <row r="101" spans="1:9" ht="25.5" hidden="1" x14ac:dyDescent="0.25">
      <c r="A101" s="8" t="s">
        <v>1</v>
      </c>
      <c r="B101" s="4" t="s">
        <v>57</v>
      </c>
      <c r="C101" s="27" t="s">
        <v>194</v>
      </c>
      <c r="D101" s="28" t="s">
        <v>239</v>
      </c>
      <c r="E101" s="24" t="s">
        <v>198</v>
      </c>
      <c r="F101" s="14">
        <f t="shared" si="2"/>
        <v>270</v>
      </c>
      <c r="G101" s="21">
        <v>30</v>
      </c>
      <c r="H101" s="19">
        <f t="shared" si="3"/>
        <v>0.5</v>
      </c>
      <c r="I101" s="14" t="s">
        <v>10</v>
      </c>
    </row>
    <row r="102" spans="1:9" ht="25.5" hidden="1" x14ac:dyDescent="0.25">
      <c r="A102" s="8" t="s">
        <v>1</v>
      </c>
      <c r="B102" s="4" t="s">
        <v>57</v>
      </c>
      <c r="C102" s="27" t="s">
        <v>194</v>
      </c>
      <c r="D102" s="28" t="s">
        <v>240</v>
      </c>
      <c r="E102" s="24" t="s">
        <v>199</v>
      </c>
      <c r="F102" s="14">
        <f t="shared" si="2"/>
        <v>900</v>
      </c>
      <c r="G102" s="21">
        <v>100</v>
      </c>
      <c r="H102" s="19">
        <f t="shared" si="3"/>
        <v>1.6666666666666667</v>
      </c>
      <c r="I102" s="14" t="s">
        <v>217</v>
      </c>
    </row>
    <row r="103" spans="1:9" ht="25.5" hidden="1" x14ac:dyDescent="0.25">
      <c r="A103" s="8" t="s">
        <v>1</v>
      </c>
      <c r="B103" s="4" t="s">
        <v>57</v>
      </c>
      <c r="C103" s="27" t="s">
        <v>194</v>
      </c>
      <c r="D103" s="28" t="s">
        <v>241</v>
      </c>
      <c r="E103" s="24" t="s">
        <v>200</v>
      </c>
      <c r="F103" s="14">
        <f t="shared" si="2"/>
        <v>900</v>
      </c>
      <c r="G103" s="21">
        <v>100</v>
      </c>
      <c r="H103" s="19">
        <f t="shared" si="3"/>
        <v>1.6666666666666667</v>
      </c>
      <c r="I103" s="14" t="s">
        <v>217</v>
      </c>
    </row>
    <row r="104" spans="1:9" ht="25.5" hidden="1" x14ac:dyDescent="0.25">
      <c r="A104" s="8" t="s">
        <v>1</v>
      </c>
      <c r="B104" s="4" t="s">
        <v>57</v>
      </c>
      <c r="C104" s="27" t="s">
        <v>194</v>
      </c>
      <c r="D104" s="28" t="s">
        <v>242</v>
      </c>
      <c r="E104" s="24" t="s">
        <v>201</v>
      </c>
      <c r="F104" s="14">
        <f t="shared" si="2"/>
        <v>270</v>
      </c>
      <c r="G104" s="21">
        <v>30</v>
      </c>
      <c r="H104" s="19">
        <f t="shared" si="3"/>
        <v>0.5</v>
      </c>
      <c r="I104" s="14" t="s">
        <v>121</v>
      </c>
    </row>
    <row r="105" spans="1:9" ht="25.5" hidden="1" x14ac:dyDescent="0.25">
      <c r="A105" s="8" t="s">
        <v>1</v>
      </c>
      <c r="B105" s="4" t="s">
        <v>57</v>
      </c>
      <c r="C105" s="27" t="s">
        <v>194</v>
      </c>
      <c r="D105" s="28" t="s">
        <v>243</v>
      </c>
      <c r="E105" s="24" t="s">
        <v>202</v>
      </c>
      <c r="F105" s="14">
        <f t="shared" si="2"/>
        <v>54</v>
      </c>
      <c r="G105" s="22">
        <v>6</v>
      </c>
      <c r="H105" s="23">
        <f t="shared" si="3"/>
        <v>0.1</v>
      </c>
      <c r="I105" s="14" t="s">
        <v>121</v>
      </c>
    </row>
    <row r="106" spans="1:9" ht="38.25" hidden="1" x14ac:dyDescent="0.25">
      <c r="A106" s="8" t="s">
        <v>1</v>
      </c>
      <c r="B106" s="4" t="s">
        <v>57</v>
      </c>
      <c r="C106" s="27" t="s">
        <v>194</v>
      </c>
      <c r="D106" s="28" t="s">
        <v>244</v>
      </c>
      <c r="E106" s="24" t="s">
        <v>203</v>
      </c>
      <c r="F106" s="14">
        <f t="shared" si="2"/>
        <v>36</v>
      </c>
      <c r="G106" s="22">
        <v>4</v>
      </c>
      <c r="H106" s="23">
        <f t="shared" si="3"/>
        <v>6.6666666666666666E-2</v>
      </c>
      <c r="I106" s="14" t="s">
        <v>121</v>
      </c>
    </row>
    <row r="107" spans="1:9" ht="38.25" hidden="1" x14ac:dyDescent="0.25">
      <c r="A107" s="8" t="s">
        <v>1</v>
      </c>
      <c r="B107" s="4" t="s">
        <v>57</v>
      </c>
      <c r="C107" s="27" t="s">
        <v>194</v>
      </c>
      <c r="D107" s="28" t="s">
        <v>245</v>
      </c>
      <c r="E107" s="24" t="s">
        <v>204</v>
      </c>
      <c r="F107" s="14">
        <f t="shared" si="2"/>
        <v>36</v>
      </c>
      <c r="G107" s="22">
        <v>4</v>
      </c>
      <c r="H107" s="23">
        <f>+G107/60</f>
        <v>6.6666666666666666E-2</v>
      </c>
      <c r="I107" s="14" t="s">
        <v>220</v>
      </c>
    </row>
    <row r="108" spans="1:9" ht="25.5" hidden="1" x14ac:dyDescent="0.25">
      <c r="A108" s="8" t="s">
        <v>1</v>
      </c>
      <c r="B108" s="4" t="s">
        <v>57</v>
      </c>
      <c r="C108" s="27" t="s">
        <v>194</v>
      </c>
      <c r="D108" s="28" t="s">
        <v>246</v>
      </c>
      <c r="E108" s="24" t="s">
        <v>205</v>
      </c>
      <c r="F108" s="14">
        <f t="shared" si="2"/>
        <v>1350</v>
      </c>
      <c r="G108" s="22">
        <v>150</v>
      </c>
      <c r="H108" s="23">
        <f>+G108/60</f>
        <v>2.5</v>
      </c>
      <c r="I108" s="14" t="s">
        <v>217</v>
      </c>
    </row>
    <row r="109" spans="1:9" ht="25.5" hidden="1" x14ac:dyDescent="0.25">
      <c r="A109" s="8" t="s">
        <v>1</v>
      </c>
      <c r="B109" s="4" t="s">
        <v>57</v>
      </c>
      <c r="C109" s="27" t="s">
        <v>194</v>
      </c>
      <c r="D109" s="28" t="s">
        <v>247</v>
      </c>
      <c r="E109" s="24" t="s">
        <v>206</v>
      </c>
      <c r="F109" s="14">
        <f t="shared" si="2"/>
        <v>1080</v>
      </c>
      <c r="G109" s="22">
        <v>120</v>
      </c>
      <c r="H109" s="23">
        <f>+G109/60</f>
        <v>2</v>
      </c>
      <c r="I109" s="14" t="s">
        <v>217</v>
      </c>
    </row>
    <row r="110" spans="1:9" ht="25.5" hidden="1" x14ac:dyDescent="0.25">
      <c r="A110" s="8" t="s">
        <v>1</v>
      </c>
      <c r="B110" s="4" t="s">
        <v>57</v>
      </c>
      <c r="C110" s="27" t="s">
        <v>194</v>
      </c>
      <c r="D110" s="28" t="s">
        <v>248</v>
      </c>
      <c r="E110" s="24" t="s">
        <v>207</v>
      </c>
      <c r="F110" s="14">
        <f t="shared" si="2"/>
        <v>180</v>
      </c>
      <c r="G110" s="22">
        <v>20</v>
      </c>
      <c r="H110" s="23">
        <f t="shared" ref="H110:H119" si="4">+G110/60</f>
        <v>0.33333333333333331</v>
      </c>
      <c r="I110" s="14" t="s">
        <v>217</v>
      </c>
    </row>
    <row r="111" spans="1:9" ht="25.5" hidden="1" x14ac:dyDescent="0.25">
      <c r="A111" s="8" t="s">
        <v>1</v>
      </c>
      <c r="B111" s="4" t="s">
        <v>57</v>
      </c>
      <c r="C111" s="27" t="s">
        <v>194</v>
      </c>
      <c r="D111" s="28" t="s">
        <v>249</v>
      </c>
      <c r="E111" s="24" t="s">
        <v>208</v>
      </c>
      <c r="F111" s="14">
        <f t="shared" si="2"/>
        <v>1080</v>
      </c>
      <c r="G111" s="22">
        <v>120</v>
      </c>
      <c r="H111" s="23">
        <f t="shared" si="4"/>
        <v>2</v>
      </c>
      <c r="I111" s="14" t="s">
        <v>154</v>
      </c>
    </row>
    <row r="112" spans="1:9" ht="25.5" hidden="1" x14ac:dyDescent="0.25">
      <c r="A112" s="8" t="s">
        <v>1</v>
      </c>
      <c r="B112" s="4" t="s">
        <v>57</v>
      </c>
      <c r="C112" s="27" t="s">
        <v>194</v>
      </c>
      <c r="D112" s="28" t="s">
        <v>250</v>
      </c>
      <c r="E112" s="24" t="s">
        <v>209</v>
      </c>
      <c r="F112" s="14">
        <f t="shared" si="2"/>
        <v>540</v>
      </c>
      <c r="G112" s="22">
        <v>60</v>
      </c>
      <c r="H112" s="23">
        <f t="shared" si="4"/>
        <v>1</v>
      </c>
      <c r="I112" s="14" t="s">
        <v>217</v>
      </c>
    </row>
    <row r="113" spans="1:9" ht="25.5" hidden="1" x14ac:dyDescent="0.25">
      <c r="A113" s="8" t="s">
        <v>1</v>
      </c>
      <c r="B113" s="4" t="s">
        <v>57</v>
      </c>
      <c r="C113" s="27" t="s">
        <v>194</v>
      </c>
      <c r="D113" s="28" t="s">
        <v>251</v>
      </c>
      <c r="E113" s="24" t="s">
        <v>210</v>
      </c>
      <c r="F113" s="14">
        <f t="shared" si="2"/>
        <v>360</v>
      </c>
      <c r="G113" s="22">
        <v>40</v>
      </c>
      <c r="H113" s="23">
        <f t="shared" si="4"/>
        <v>0.66666666666666663</v>
      </c>
      <c r="I113" s="14" t="s">
        <v>10</v>
      </c>
    </row>
    <row r="114" spans="1:9" ht="25.5" hidden="1" x14ac:dyDescent="0.25">
      <c r="A114" s="8" t="s">
        <v>1</v>
      </c>
      <c r="B114" s="4" t="s">
        <v>57</v>
      </c>
      <c r="C114" s="27" t="s">
        <v>194</v>
      </c>
      <c r="D114" s="28" t="s">
        <v>252</v>
      </c>
      <c r="E114" s="24" t="s">
        <v>210</v>
      </c>
      <c r="F114" s="14">
        <f t="shared" si="2"/>
        <v>135</v>
      </c>
      <c r="G114" s="22">
        <v>15</v>
      </c>
      <c r="H114" s="23">
        <f t="shared" si="4"/>
        <v>0.25</v>
      </c>
      <c r="I114" s="14" t="s">
        <v>10</v>
      </c>
    </row>
    <row r="115" spans="1:9" ht="76.5" hidden="1" x14ac:dyDescent="0.25">
      <c r="A115" s="8" t="s">
        <v>1</v>
      </c>
      <c r="B115" s="4" t="s">
        <v>57</v>
      </c>
      <c r="C115" s="27" t="s">
        <v>194</v>
      </c>
      <c r="D115" s="28" t="s">
        <v>253</v>
      </c>
      <c r="E115" s="24" t="s">
        <v>211</v>
      </c>
      <c r="F115" s="14">
        <f t="shared" si="2"/>
        <v>18</v>
      </c>
      <c r="G115" s="22">
        <v>2</v>
      </c>
      <c r="H115" s="23">
        <f t="shared" si="4"/>
        <v>3.3333333333333333E-2</v>
      </c>
      <c r="I115" s="14" t="s">
        <v>217</v>
      </c>
    </row>
    <row r="116" spans="1:9" ht="89.25" hidden="1" x14ac:dyDescent="0.25">
      <c r="A116" s="8" t="s">
        <v>1</v>
      </c>
      <c r="B116" s="4" t="s">
        <v>57</v>
      </c>
      <c r="C116" s="27" t="s">
        <v>194</v>
      </c>
      <c r="D116" s="28" t="s">
        <v>254</v>
      </c>
      <c r="E116" s="24" t="s">
        <v>212</v>
      </c>
      <c r="F116" s="14">
        <f t="shared" si="2"/>
        <v>18</v>
      </c>
      <c r="G116" s="22">
        <v>2</v>
      </c>
      <c r="H116" s="23">
        <f t="shared" si="4"/>
        <v>3.3333333333333333E-2</v>
      </c>
      <c r="I116" s="14" t="s">
        <v>221</v>
      </c>
    </row>
    <row r="117" spans="1:9" ht="76.5" hidden="1" x14ac:dyDescent="0.25">
      <c r="A117" s="8" t="s">
        <v>1</v>
      </c>
      <c r="B117" s="4" t="s">
        <v>57</v>
      </c>
      <c r="C117" s="27" t="s">
        <v>194</v>
      </c>
      <c r="D117" s="28" t="s">
        <v>255</v>
      </c>
      <c r="E117" s="24" t="s">
        <v>211</v>
      </c>
      <c r="F117" s="14">
        <f t="shared" si="2"/>
        <v>18</v>
      </c>
      <c r="G117" s="22">
        <v>2</v>
      </c>
      <c r="H117" s="23">
        <f t="shared" si="4"/>
        <v>3.3333333333333333E-2</v>
      </c>
      <c r="I117" s="14" t="s">
        <v>217</v>
      </c>
    </row>
    <row r="118" spans="1:9" ht="40.5" hidden="1" customHeight="1" x14ac:dyDescent="0.25">
      <c r="A118" s="8" t="s">
        <v>1</v>
      </c>
      <c r="B118" s="4" t="s">
        <v>57</v>
      </c>
      <c r="C118" s="27" t="s">
        <v>194</v>
      </c>
      <c r="D118" s="28" t="s">
        <v>256</v>
      </c>
      <c r="E118" s="24" t="s">
        <v>213</v>
      </c>
      <c r="F118" s="14">
        <f t="shared" ref="F118:F119" si="5">+G118*9</f>
        <v>270</v>
      </c>
      <c r="G118" s="22">
        <v>30</v>
      </c>
      <c r="H118" s="23">
        <f t="shared" si="4"/>
        <v>0.5</v>
      </c>
      <c r="I118" s="14" t="s">
        <v>10</v>
      </c>
    </row>
    <row r="119" spans="1:9" ht="37.5" hidden="1" customHeight="1" x14ac:dyDescent="0.25">
      <c r="A119" s="8" t="s">
        <v>1</v>
      </c>
      <c r="B119" s="4" t="s">
        <v>57</v>
      </c>
      <c r="C119" s="27" t="s">
        <v>194</v>
      </c>
      <c r="D119" s="28" t="s">
        <v>257</v>
      </c>
      <c r="E119" s="25" t="s">
        <v>214</v>
      </c>
      <c r="F119" s="14">
        <f t="shared" si="5"/>
        <v>90</v>
      </c>
      <c r="G119" s="22">
        <v>10</v>
      </c>
      <c r="H119" s="23">
        <f t="shared" si="4"/>
        <v>0.16666666666666666</v>
      </c>
      <c r="I119" s="14" t="s">
        <v>10</v>
      </c>
    </row>
    <row r="120" spans="1:9" ht="94.5" hidden="1" customHeight="1" x14ac:dyDescent="0.25">
      <c r="A120" s="31" t="s">
        <v>309</v>
      </c>
      <c r="B120" s="8" t="s">
        <v>57</v>
      </c>
      <c r="C120" s="32" t="s">
        <v>281</v>
      </c>
      <c r="D120" s="29" t="s">
        <v>258</v>
      </c>
      <c r="E120" s="29" t="s">
        <v>286</v>
      </c>
      <c r="F120" s="34">
        <v>440</v>
      </c>
      <c r="G120" s="35">
        <f>+F120/9</f>
        <v>48.888888888888886</v>
      </c>
      <c r="H120" s="36">
        <f>+G120/60</f>
        <v>0.81481481481481477</v>
      </c>
      <c r="I120" s="37" t="s">
        <v>282</v>
      </c>
    </row>
    <row r="121" spans="1:9" ht="73.5" hidden="1" customHeight="1" x14ac:dyDescent="0.25">
      <c r="A121" s="31" t="s">
        <v>309</v>
      </c>
      <c r="B121" s="8" t="s">
        <v>57</v>
      </c>
      <c r="C121" s="33" t="s">
        <v>281</v>
      </c>
      <c r="D121" s="29" t="s">
        <v>259</v>
      </c>
      <c r="E121" s="29" t="s">
        <v>287</v>
      </c>
      <c r="F121" s="34">
        <v>230</v>
      </c>
      <c r="G121" s="35">
        <f t="shared" ref="G121:G143" si="6">+F121/9</f>
        <v>25.555555555555557</v>
      </c>
      <c r="H121" s="36">
        <f t="shared" ref="H121:H143" si="7">+G121/60</f>
        <v>0.42592592592592593</v>
      </c>
      <c r="I121" s="37" t="s">
        <v>282</v>
      </c>
    </row>
    <row r="122" spans="1:9" ht="88.5" hidden="1" customHeight="1" x14ac:dyDescent="0.25">
      <c r="A122" s="31" t="s">
        <v>309</v>
      </c>
      <c r="B122" s="8" t="s">
        <v>57</v>
      </c>
      <c r="C122" s="32" t="s">
        <v>281</v>
      </c>
      <c r="D122" s="29" t="s">
        <v>165</v>
      </c>
      <c r="E122" s="29" t="s">
        <v>288</v>
      </c>
      <c r="F122" s="34">
        <v>560</v>
      </c>
      <c r="G122" s="35">
        <f t="shared" si="6"/>
        <v>62.222222222222221</v>
      </c>
      <c r="H122" s="36">
        <f t="shared" si="7"/>
        <v>1.037037037037037</v>
      </c>
      <c r="I122" s="37" t="s">
        <v>283</v>
      </c>
    </row>
    <row r="123" spans="1:9" ht="117" hidden="1" customHeight="1" x14ac:dyDescent="0.25">
      <c r="A123" s="31" t="s">
        <v>309</v>
      </c>
      <c r="B123" s="8" t="s">
        <v>57</v>
      </c>
      <c r="C123" s="32" t="s">
        <v>281</v>
      </c>
      <c r="D123" s="29" t="s">
        <v>260</v>
      </c>
      <c r="E123" s="29" t="s">
        <v>289</v>
      </c>
      <c r="F123" s="34">
        <v>8</v>
      </c>
      <c r="G123" s="35">
        <f t="shared" si="6"/>
        <v>0.88888888888888884</v>
      </c>
      <c r="H123" s="36">
        <f t="shared" si="7"/>
        <v>1.4814814814814814E-2</v>
      </c>
      <c r="I123" s="37" t="s">
        <v>284</v>
      </c>
    </row>
    <row r="124" spans="1:9" ht="159" hidden="1" customHeight="1" x14ac:dyDescent="0.25">
      <c r="A124" s="31" t="s">
        <v>309</v>
      </c>
      <c r="B124" s="8" t="s">
        <v>57</v>
      </c>
      <c r="C124" s="32" t="s">
        <v>281</v>
      </c>
      <c r="D124" s="29" t="s">
        <v>261</v>
      </c>
      <c r="E124" s="29" t="s">
        <v>290</v>
      </c>
      <c r="F124" s="34">
        <v>12</v>
      </c>
      <c r="G124" s="35">
        <f t="shared" si="6"/>
        <v>1.3333333333333333</v>
      </c>
      <c r="H124" s="36">
        <f t="shared" si="7"/>
        <v>2.222222222222222E-2</v>
      </c>
      <c r="I124" s="37" t="s">
        <v>284</v>
      </c>
    </row>
    <row r="125" spans="1:9" ht="128.25" hidden="1" x14ac:dyDescent="0.25">
      <c r="A125" s="31" t="s">
        <v>309</v>
      </c>
      <c r="B125" s="8" t="s">
        <v>57</v>
      </c>
      <c r="C125" s="32" t="s">
        <v>281</v>
      </c>
      <c r="D125" s="29" t="s">
        <v>262</v>
      </c>
      <c r="E125" s="29" t="s">
        <v>291</v>
      </c>
      <c r="F125" s="34">
        <v>30</v>
      </c>
      <c r="G125" s="35">
        <f t="shared" si="6"/>
        <v>3.3333333333333335</v>
      </c>
      <c r="H125" s="36">
        <f t="shared" si="7"/>
        <v>5.5555555555555559E-2</v>
      </c>
      <c r="I125" s="37" t="s">
        <v>284</v>
      </c>
    </row>
    <row r="126" spans="1:9" ht="94.5" hidden="1" customHeight="1" x14ac:dyDescent="0.25">
      <c r="A126" s="31" t="s">
        <v>309</v>
      </c>
      <c r="B126" s="8" t="s">
        <v>57</v>
      </c>
      <c r="C126" s="32" t="s">
        <v>281</v>
      </c>
      <c r="D126" s="29" t="s">
        <v>263</v>
      </c>
      <c r="E126" s="29" t="s">
        <v>292</v>
      </c>
      <c r="F126" s="34">
        <v>18</v>
      </c>
      <c r="G126" s="35">
        <f t="shared" si="6"/>
        <v>2</v>
      </c>
      <c r="H126" s="36">
        <f t="shared" si="7"/>
        <v>3.3333333333333333E-2</v>
      </c>
      <c r="I126" s="37" t="s">
        <v>284</v>
      </c>
    </row>
    <row r="127" spans="1:9" ht="120.75" hidden="1" customHeight="1" x14ac:dyDescent="0.25">
      <c r="A127" s="31" t="s">
        <v>309</v>
      </c>
      <c r="B127" s="8" t="s">
        <v>57</v>
      </c>
      <c r="C127" s="32" t="s">
        <v>281</v>
      </c>
      <c r="D127" s="29" t="s">
        <v>264</v>
      </c>
      <c r="E127" s="29" t="s">
        <v>293</v>
      </c>
      <c r="F127" s="34">
        <v>250</v>
      </c>
      <c r="G127" s="35">
        <f t="shared" si="6"/>
        <v>27.777777777777779</v>
      </c>
      <c r="H127" s="36">
        <f t="shared" si="7"/>
        <v>0.46296296296296297</v>
      </c>
      <c r="I127" s="37" t="s">
        <v>282</v>
      </c>
    </row>
    <row r="128" spans="1:9" ht="50.25" hidden="1" customHeight="1" x14ac:dyDescent="0.25">
      <c r="A128" s="31" t="s">
        <v>309</v>
      </c>
      <c r="B128" s="8" t="s">
        <v>57</v>
      </c>
      <c r="C128" s="32" t="s">
        <v>281</v>
      </c>
      <c r="D128" s="29" t="s">
        <v>265</v>
      </c>
      <c r="E128" s="29" t="s">
        <v>294</v>
      </c>
      <c r="F128" s="34">
        <v>1400</v>
      </c>
      <c r="G128" s="35">
        <f t="shared" si="6"/>
        <v>155.55555555555554</v>
      </c>
      <c r="H128" s="36">
        <f t="shared" si="7"/>
        <v>2.5925925925925926</v>
      </c>
      <c r="I128" s="37" t="s">
        <v>282</v>
      </c>
    </row>
    <row r="129" spans="1:9" ht="69" hidden="1" customHeight="1" x14ac:dyDescent="0.25">
      <c r="A129" s="31" t="s">
        <v>309</v>
      </c>
      <c r="B129" s="8" t="s">
        <v>57</v>
      </c>
      <c r="C129" s="32" t="s">
        <v>281</v>
      </c>
      <c r="D129" s="30" t="s">
        <v>266</v>
      </c>
      <c r="E129" s="29" t="s">
        <v>295</v>
      </c>
      <c r="F129" s="34">
        <v>1440</v>
      </c>
      <c r="G129" s="35">
        <f t="shared" si="6"/>
        <v>160</v>
      </c>
      <c r="H129" s="36">
        <f t="shared" si="7"/>
        <v>2.6666666666666665</v>
      </c>
      <c r="I129" s="37" t="s">
        <v>282</v>
      </c>
    </row>
    <row r="130" spans="1:9" ht="64.5" hidden="1" customHeight="1" x14ac:dyDescent="0.25">
      <c r="A130" s="31" t="s">
        <v>309</v>
      </c>
      <c r="B130" s="8" t="s">
        <v>57</v>
      </c>
      <c r="C130" s="32" t="s">
        <v>281</v>
      </c>
      <c r="D130" s="29" t="s">
        <v>267</v>
      </c>
      <c r="E130" s="29" t="s">
        <v>295</v>
      </c>
      <c r="F130" s="34">
        <v>470</v>
      </c>
      <c r="G130" s="35">
        <f t="shared" si="6"/>
        <v>52.222222222222221</v>
      </c>
      <c r="H130" s="36">
        <f t="shared" si="7"/>
        <v>0.87037037037037035</v>
      </c>
      <c r="I130" s="37" t="s">
        <v>282</v>
      </c>
    </row>
    <row r="131" spans="1:9" ht="99.75" hidden="1" x14ac:dyDescent="0.25">
      <c r="A131" s="31" t="s">
        <v>309</v>
      </c>
      <c r="B131" s="8" t="s">
        <v>57</v>
      </c>
      <c r="C131" s="32" t="s">
        <v>281</v>
      </c>
      <c r="D131" s="29" t="s">
        <v>268</v>
      </c>
      <c r="E131" s="29" t="s">
        <v>296</v>
      </c>
      <c r="F131" s="34">
        <v>560</v>
      </c>
      <c r="G131" s="35">
        <f t="shared" si="6"/>
        <v>62.222222222222221</v>
      </c>
      <c r="H131" s="36">
        <f t="shared" si="7"/>
        <v>1.037037037037037</v>
      </c>
      <c r="I131" s="37" t="s">
        <v>282</v>
      </c>
    </row>
    <row r="132" spans="1:9" ht="81" hidden="1" customHeight="1" x14ac:dyDescent="0.25">
      <c r="A132" s="31" t="s">
        <v>309</v>
      </c>
      <c r="B132" s="8" t="s">
        <v>57</v>
      </c>
      <c r="C132" s="32" t="s">
        <v>281</v>
      </c>
      <c r="D132" s="29" t="s">
        <v>269</v>
      </c>
      <c r="E132" s="29" t="s">
        <v>297</v>
      </c>
      <c r="F132" s="34">
        <v>450</v>
      </c>
      <c r="G132" s="35">
        <f t="shared" si="6"/>
        <v>50</v>
      </c>
      <c r="H132" s="36">
        <f t="shared" si="7"/>
        <v>0.83333333333333337</v>
      </c>
      <c r="I132" s="37" t="s">
        <v>282</v>
      </c>
    </row>
    <row r="133" spans="1:9" ht="76.5" hidden="1" customHeight="1" x14ac:dyDescent="0.25">
      <c r="A133" s="31" t="s">
        <v>309</v>
      </c>
      <c r="B133" s="8" t="s">
        <v>57</v>
      </c>
      <c r="C133" s="32" t="s">
        <v>281</v>
      </c>
      <c r="D133" s="30" t="s">
        <v>270</v>
      </c>
      <c r="E133" s="29" t="s">
        <v>298</v>
      </c>
      <c r="F133" s="34">
        <v>450</v>
      </c>
      <c r="G133" s="36">
        <f t="shared" si="6"/>
        <v>50</v>
      </c>
      <c r="H133" s="36">
        <f t="shared" si="7"/>
        <v>0.83333333333333337</v>
      </c>
      <c r="I133" s="37" t="s">
        <v>282</v>
      </c>
    </row>
    <row r="134" spans="1:9" ht="99.75" hidden="1" customHeight="1" x14ac:dyDescent="0.25">
      <c r="A134" s="31" t="s">
        <v>309</v>
      </c>
      <c r="B134" s="8" t="s">
        <v>57</v>
      </c>
      <c r="C134" s="32" t="s">
        <v>281</v>
      </c>
      <c r="D134" s="29" t="s">
        <v>271</v>
      </c>
      <c r="E134" s="29" t="s">
        <v>299</v>
      </c>
      <c r="F134" s="34">
        <v>800</v>
      </c>
      <c r="G134" s="35">
        <f t="shared" si="6"/>
        <v>88.888888888888886</v>
      </c>
      <c r="H134" s="36">
        <f t="shared" si="7"/>
        <v>1.4814814814814814</v>
      </c>
      <c r="I134" s="37" t="s">
        <v>282</v>
      </c>
    </row>
    <row r="135" spans="1:9" ht="96.75" hidden="1" customHeight="1" x14ac:dyDescent="0.25">
      <c r="A135" s="31" t="s">
        <v>309</v>
      </c>
      <c r="B135" s="8" t="s">
        <v>57</v>
      </c>
      <c r="C135" s="32" t="s">
        <v>281</v>
      </c>
      <c r="D135" s="29" t="s">
        <v>272</v>
      </c>
      <c r="E135" s="29" t="s">
        <v>300</v>
      </c>
      <c r="F135" s="34">
        <v>2000</v>
      </c>
      <c r="G135" s="35">
        <f t="shared" si="6"/>
        <v>222.22222222222223</v>
      </c>
      <c r="H135" s="36">
        <f t="shared" si="7"/>
        <v>3.7037037037037037</v>
      </c>
      <c r="I135" s="37" t="s">
        <v>282</v>
      </c>
    </row>
    <row r="136" spans="1:9" ht="72" hidden="1" customHeight="1" x14ac:dyDescent="0.25">
      <c r="A136" s="31" t="s">
        <v>309</v>
      </c>
      <c r="B136" s="8" t="s">
        <v>57</v>
      </c>
      <c r="C136" s="32" t="s">
        <v>281</v>
      </c>
      <c r="D136" s="29" t="s">
        <v>273</v>
      </c>
      <c r="E136" s="29" t="s">
        <v>301</v>
      </c>
      <c r="F136" s="34">
        <v>700</v>
      </c>
      <c r="G136" s="36">
        <f t="shared" si="6"/>
        <v>77.777777777777771</v>
      </c>
      <c r="H136" s="36">
        <f t="shared" si="7"/>
        <v>1.2962962962962963</v>
      </c>
      <c r="I136" s="37" t="s">
        <v>282</v>
      </c>
    </row>
    <row r="137" spans="1:9" ht="51" hidden="1" customHeight="1" x14ac:dyDescent="0.25">
      <c r="A137" s="31" t="s">
        <v>309</v>
      </c>
      <c r="B137" s="8" t="s">
        <v>57</v>
      </c>
      <c r="C137" s="32" t="s">
        <v>281</v>
      </c>
      <c r="D137" s="29" t="s">
        <v>274</v>
      </c>
      <c r="E137" s="29" t="s">
        <v>302</v>
      </c>
      <c r="F137" s="34">
        <v>340</v>
      </c>
      <c r="G137" s="35">
        <f t="shared" si="6"/>
        <v>37.777777777777779</v>
      </c>
      <c r="H137" s="36">
        <f t="shared" si="7"/>
        <v>0.62962962962962965</v>
      </c>
      <c r="I137" s="37" t="s">
        <v>282</v>
      </c>
    </row>
    <row r="138" spans="1:9" ht="69.75" hidden="1" customHeight="1" x14ac:dyDescent="0.25">
      <c r="A138" s="31" t="s">
        <v>309</v>
      </c>
      <c r="B138" s="8" t="s">
        <v>57</v>
      </c>
      <c r="C138" s="32" t="s">
        <v>281</v>
      </c>
      <c r="D138" s="29" t="s">
        <v>275</v>
      </c>
      <c r="E138" s="29" t="s">
        <v>303</v>
      </c>
      <c r="F138" s="34">
        <v>400</v>
      </c>
      <c r="G138" s="35">
        <f t="shared" si="6"/>
        <v>44.444444444444443</v>
      </c>
      <c r="H138" s="36">
        <f t="shared" si="7"/>
        <v>0.7407407407407407</v>
      </c>
      <c r="I138" s="37" t="s">
        <v>284</v>
      </c>
    </row>
    <row r="139" spans="1:9" ht="127.5" hidden="1" customHeight="1" x14ac:dyDescent="0.25">
      <c r="A139" s="31" t="s">
        <v>309</v>
      </c>
      <c r="B139" s="8" t="s">
        <v>57</v>
      </c>
      <c r="C139" s="32" t="s">
        <v>281</v>
      </c>
      <c r="D139" s="29" t="s">
        <v>276</v>
      </c>
      <c r="E139" s="29" t="s">
        <v>304</v>
      </c>
      <c r="F139" s="34">
        <v>135</v>
      </c>
      <c r="G139" s="35">
        <f t="shared" si="6"/>
        <v>15</v>
      </c>
      <c r="H139" s="36">
        <f t="shared" si="7"/>
        <v>0.25</v>
      </c>
      <c r="I139" s="37" t="s">
        <v>284</v>
      </c>
    </row>
    <row r="140" spans="1:9" ht="126.75" hidden="1" customHeight="1" x14ac:dyDescent="0.25">
      <c r="A140" s="31" t="s">
        <v>309</v>
      </c>
      <c r="B140" s="8" t="s">
        <v>57</v>
      </c>
      <c r="C140" s="32" t="s">
        <v>281</v>
      </c>
      <c r="D140" s="29" t="s">
        <v>277</v>
      </c>
      <c r="E140" s="29" t="s">
        <v>305</v>
      </c>
      <c r="F140" s="34">
        <v>140</v>
      </c>
      <c r="G140" s="35">
        <f t="shared" si="6"/>
        <v>15.555555555555555</v>
      </c>
      <c r="H140" s="36">
        <f t="shared" si="7"/>
        <v>0.25925925925925924</v>
      </c>
      <c r="I140" s="37" t="s">
        <v>282</v>
      </c>
    </row>
    <row r="141" spans="1:9" ht="97.5" hidden="1" customHeight="1" x14ac:dyDescent="0.25">
      <c r="A141" s="31" t="s">
        <v>309</v>
      </c>
      <c r="B141" s="8" t="s">
        <v>57</v>
      </c>
      <c r="C141" s="32" t="s">
        <v>281</v>
      </c>
      <c r="D141" s="29" t="s">
        <v>278</v>
      </c>
      <c r="E141" s="29" t="s">
        <v>306</v>
      </c>
      <c r="F141" s="34">
        <v>126</v>
      </c>
      <c r="G141" s="35">
        <f t="shared" si="6"/>
        <v>14</v>
      </c>
      <c r="H141" s="36">
        <f t="shared" si="7"/>
        <v>0.23333333333333334</v>
      </c>
      <c r="I141" s="37" t="s">
        <v>285</v>
      </c>
    </row>
    <row r="142" spans="1:9" ht="51" hidden="1" customHeight="1" x14ac:dyDescent="0.25">
      <c r="A142" s="31" t="s">
        <v>309</v>
      </c>
      <c r="B142" s="8" t="s">
        <v>57</v>
      </c>
      <c r="C142" s="32" t="s">
        <v>281</v>
      </c>
      <c r="D142" s="29" t="s">
        <v>279</v>
      </c>
      <c r="E142" s="29" t="s">
        <v>307</v>
      </c>
      <c r="F142" s="34">
        <v>340</v>
      </c>
      <c r="G142" s="35">
        <f t="shared" si="6"/>
        <v>37.777777777777779</v>
      </c>
      <c r="H142" s="36">
        <f t="shared" si="7"/>
        <v>0.62962962962962965</v>
      </c>
      <c r="I142" s="37" t="s">
        <v>282</v>
      </c>
    </row>
    <row r="143" spans="1:9" ht="85.5" hidden="1" customHeight="1" x14ac:dyDescent="0.25">
      <c r="A143" s="31" t="s">
        <v>309</v>
      </c>
      <c r="B143" s="8" t="s">
        <v>57</v>
      </c>
      <c r="C143" s="32" t="s">
        <v>281</v>
      </c>
      <c r="D143" s="29" t="s">
        <v>280</v>
      </c>
      <c r="E143" s="29" t="s">
        <v>308</v>
      </c>
      <c r="F143" s="34">
        <v>306</v>
      </c>
      <c r="G143" s="35">
        <f t="shared" si="6"/>
        <v>34</v>
      </c>
      <c r="H143" s="36">
        <f t="shared" si="7"/>
        <v>0.56666666666666665</v>
      </c>
      <c r="I143" s="37" t="s">
        <v>285</v>
      </c>
    </row>
  </sheetData>
  <autoFilter ref="A1:I143">
    <filterColumn colId="2">
      <filters>
        <filter val="Custodia"/>
        <filter val="Scotiabank Colpatria"/>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Tiempos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Corjuelaa</dc:creator>
  <cp:lastModifiedBy>Corjuelaa</cp:lastModifiedBy>
  <dcterms:created xsi:type="dcterms:W3CDTF">2024-01-11T14:00:46Z</dcterms:created>
  <dcterms:modified xsi:type="dcterms:W3CDTF">2025-09-22T19:42:49Z</dcterms:modified>
</cp:coreProperties>
</file>